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tulthakkar/Documents/"/>
    </mc:Choice>
  </mc:AlternateContent>
  <xr:revisionPtr revIDLastSave="0" documentId="13_ncr:1_{79153B5F-DB59-0549-B0D8-133F3192E549}" xr6:coauthVersionLast="47" xr6:coauthVersionMax="47" xr10:uidLastSave="{00000000-0000-0000-0000-000000000000}"/>
  <bookViews>
    <workbookView xWindow="0" yWindow="500" windowWidth="51200" windowHeight="28300" xr2:uid="{E9520F99-19D7-084B-83F4-2CCBC9F24EAC}"/>
  </bookViews>
  <sheets>
    <sheet name="Aug2025" sheetId="1" r:id="rId1"/>
    <sheet name="Sept2025" sheetId="2" r:id="rId2"/>
    <sheet name="Oct2025" sheetId="3" r:id="rId3"/>
    <sheet name="Nov2025" sheetId="4" r:id="rId4"/>
    <sheet name="Dec202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9" i="5" l="1"/>
  <c r="AC34" i="5"/>
  <c r="J34" i="5"/>
  <c r="AH5" i="5"/>
  <c r="Y10" i="5" s="1"/>
  <c r="R49" i="4"/>
  <c r="AC34" i="4"/>
  <c r="J34" i="4"/>
  <c r="AH5" i="4"/>
  <c r="Y10" i="4" s="1"/>
  <c r="AC34" i="3"/>
  <c r="J34" i="3"/>
  <c r="AH5" i="3"/>
  <c r="Y10" i="3" s="1"/>
  <c r="AC34" i="2"/>
  <c r="J34" i="2"/>
  <c r="AH5" i="2"/>
  <c r="Y10" i="2" s="1"/>
  <c r="R49" i="1"/>
  <c r="AH5" i="1"/>
  <c r="AC34" i="1"/>
  <c r="J34" i="1"/>
  <c r="Y10" i="1" l="1"/>
  <c r="Y34" i="1" s="1"/>
  <c r="AA36" i="1" s="1"/>
  <c r="J35" i="1" s="1"/>
  <c r="J36" i="1" s="1"/>
  <c r="R51" i="1" s="1"/>
  <c r="Y7" i="2" l="1"/>
  <c r="Y34" i="2" s="1"/>
  <c r="AA36" i="2" s="1"/>
  <c r="J35" i="2" s="1"/>
  <c r="J36" i="2" s="1"/>
  <c r="R51" i="2" s="1"/>
  <c r="Y7" i="3" l="1"/>
  <c r="Y34" i="3" s="1"/>
  <c r="AA36" i="3" s="1"/>
  <c r="J35" i="3" s="1"/>
  <c r="J36" i="3" s="1"/>
  <c r="R51" i="3" s="1"/>
  <c r="Y7" i="4" l="1"/>
  <c r="Y34" i="4" s="1"/>
  <c r="AA36" i="4" s="1"/>
  <c r="J35" i="4" s="1"/>
  <c r="J36" i="4" s="1"/>
  <c r="R51" i="4" s="1"/>
  <c r="Y7" i="5" l="1"/>
  <c r="Y34" i="5" s="1"/>
  <c r="AA36" i="5" s="1"/>
  <c r="J35" i="5" s="1"/>
  <c r="J36" i="5" s="1"/>
  <c r="R51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Atul Thakkar</author>
  </authors>
  <commentList>
    <comment ref="AF5" authorId="0" shapeId="0" xr:uid="{E894124A-1D28-4D4C-A749-24016963DD3E}">
      <text>
        <r>
          <rPr>
            <b/>
            <sz val="10"/>
            <color rgb="FF000000"/>
            <rFont val="Tahoma"/>
            <family val="2"/>
          </rPr>
          <t>Atul Thakkar: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krish you can add your figure hereand it will reflect automatically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Atul Thakkar</author>
  </authors>
  <commentList>
    <comment ref="AF5" authorId="0" shapeId="0" xr:uid="{35DAEB47-916F-AD4A-9DD1-5035457C0C89}">
      <text>
        <r>
          <rPr>
            <b/>
            <sz val="10"/>
            <color rgb="FF000000"/>
            <rFont val="Tahoma"/>
            <family val="2"/>
          </rPr>
          <t>Atul Thakkar: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krish you can add your figure hereand it will reflect automatically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Atul Thakkar</author>
  </authors>
  <commentList>
    <comment ref="AF5" authorId="0" shapeId="0" xr:uid="{0AAE27D2-7E83-6F46-AAE0-C7D569818D59}">
      <text>
        <r>
          <rPr>
            <b/>
            <sz val="10"/>
            <color rgb="FF000000"/>
            <rFont val="Tahoma"/>
            <family val="2"/>
          </rPr>
          <t>Atul Thakkar: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krish you can add your figure hereand it will reflect automatically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Atul Thakkar</author>
  </authors>
  <commentList>
    <comment ref="AF5" authorId="0" shapeId="0" xr:uid="{E9380179-2B6D-CF4A-80D7-C968E1C79E5F}">
      <text>
        <r>
          <rPr>
            <b/>
            <sz val="10"/>
            <color rgb="FF000000"/>
            <rFont val="Tahoma"/>
            <family val="2"/>
          </rPr>
          <t>Atul Thakkar: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krish you can add your figure hereand it will reflect automatically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Atul Thakkar</author>
  </authors>
  <commentList>
    <comment ref="AF5" authorId="0" shapeId="0" xr:uid="{E80906E9-3863-3746-8885-5942127EA7FD}">
      <text>
        <r>
          <rPr>
            <b/>
            <sz val="10"/>
            <color rgb="FF000000"/>
            <rFont val="Tahoma"/>
            <family val="2"/>
          </rPr>
          <t>Atul Thakkar: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krish you can add your figure hereand it will reflect automatically</t>
        </r>
      </text>
    </comment>
  </commentList>
</comments>
</file>

<file path=xl/sharedStrings.xml><?xml version="1.0" encoding="utf-8"?>
<sst xmlns="http://schemas.openxmlformats.org/spreadsheetml/2006/main" count="652" uniqueCount="93">
  <si>
    <t>Financial position as on 13th Aug 2025</t>
  </si>
  <si>
    <t>Starting date</t>
  </si>
  <si>
    <t>Expenses head</t>
  </si>
  <si>
    <t>Status</t>
  </si>
  <si>
    <t>Amount</t>
  </si>
  <si>
    <t>Comments</t>
  </si>
  <si>
    <t>IDFC home Loan EMI</t>
  </si>
  <si>
    <t>Active</t>
  </si>
  <si>
    <t>10 years</t>
  </si>
  <si>
    <t>paid  500000 till date</t>
  </si>
  <si>
    <t>Amount /per month</t>
  </si>
  <si>
    <t>Indus bank personalLoan</t>
  </si>
  <si>
    <t xml:space="preserve">Can be closed soon </t>
  </si>
  <si>
    <t>1 yrs</t>
  </si>
  <si>
    <t>Tenure pending</t>
  </si>
  <si>
    <t>We can close this very soon</t>
  </si>
  <si>
    <t>Action Plan</t>
  </si>
  <si>
    <t>Total Amount Pending</t>
  </si>
  <si>
    <t>Continue paying EMI</t>
  </si>
  <si>
    <t>Can payoff from my savings</t>
  </si>
  <si>
    <t>Piramal Personal Loan</t>
  </si>
  <si>
    <t>18 months</t>
  </si>
  <si>
    <t>Close it in March 2026</t>
  </si>
  <si>
    <t>3 years</t>
  </si>
  <si>
    <t>No Comments</t>
  </si>
  <si>
    <t>Forever</t>
  </si>
  <si>
    <t xml:space="preserve">Includes utilities </t>
  </si>
  <si>
    <t>Stay in same house and continue</t>
  </si>
  <si>
    <t xml:space="preserve">House rent Dombivali </t>
  </si>
  <si>
    <t>Ashish household</t>
  </si>
  <si>
    <t>Till he finds some work</t>
  </si>
  <si>
    <t>Includes school fees , rent and household</t>
  </si>
  <si>
    <t>Till Ashish finds some wrok</t>
  </si>
  <si>
    <t>Hemant Mama</t>
  </si>
  <si>
    <t>Continue paying</t>
  </si>
  <si>
    <t>Icici CC</t>
  </si>
  <si>
    <t>Can Close ASAP</t>
  </si>
  <si>
    <t>Very less amount pending</t>
  </si>
  <si>
    <t>Can close asap</t>
  </si>
  <si>
    <t>Personal Household</t>
  </si>
  <si>
    <t>household Expenses</t>
  </si>
  <si>
    <t>Includes Savings</t>
  </si>
  <si>
    <t>Hemal Kitty</t>
  </si>
  <si>
    <t>Indirect Savings cant stop now</t>
  </si>
  <si>
    <t>19 months</t>
  </si>
  <si>
    <t>Will generate 90000 in Feb and 90000 in March</t>
  </si>
  <si>
    <t>01/09/2025 - 10/09/2025</t>
  </si>
  <si>
    <t>11/09-20/09/2025</t>
  </si>
  <si>
    <t>Bangolore Maintenance</t>
  </si>
  <si>
    <t>House maintenance</t>
  </si>
  <si>
    <t>Vipul Personal Loan</t>
  </si>
  <si>
    <t>36 months</t>
  </si>
  <si>
    <t>Persoanl Loan taken</t>
  </si>
  <si>
    <t>Navi Personal Loan</t>
  </si>
  <si>
    <t>44 months</t>
  </si>
  <si>
    <t>20/0-30/09/2025</t>
  </si>
  <si>
    <t>Rohitbhai (Heena,Mona,Varsha,Smitha,Kamafui)</t>
  </si>
  <si>
    <t>Interest only</t>
  </si>
  <si>
    <t>Bank of Baroda</t>
  </si>
  <si>
    <t xml:space="preserve">Gold Loan </t>
  </si>
  <si>
    <t>Airtel mobile bill</t>
  </si>
  <si>
    <t>4 mobile numbers + intenet charges</t>
  </si>
  <si>
    <t xml:space="preserve">Rohitbhai hand loan </t>
  </si>
  <si>
    <t>Income</t>
  </si>
  <si>
    <t>Savings</t>
  </si>
  <si>
    <t>Rent From bangalore</t>
  </si>
  <si>
    <t>Previous Saving in Bank</t>
  </si>
  <si>
    <t>Emergency Cash</t>
  </si>
  <si>
    <t>Vidhya Salary Aug 2025</t>
  </si>
  <si>
    <t xml:space="preserve">Total Funds In Hand </t>
  </si>
  <si>
    <t>Total Expenses</t>
  </si>
  <si>
    <t>Total Earnings</t>
  </si>
  <si>
    <t>End of the Month</t>
  </si>
  <si>
    <t>Possible Help in Sept 2025</t>
  </si>
  <si>
    <t>Possible help in USD</t>
  </si>
  <si>
    <t>Amont in USD</t>
  </si>
  <si>
    <t>Amont in INR</t>
  </si>
  <si>
    <t>Course of Action</t>
  </si>
  <si>
    <t>Impact</t>
  </si>
  <si>
    <t xml:space="preserve">Use the access funds to close Indus Personal Loan </t>
  </si>
  <si>
    <t xml:space="preserve">This will reduce the cash outflow for next month </t>
  </si>
  <si>
    <t>Payoff Rohitbhai 60000 from acess funds</t>
  </si>
  <si>
    <t xml:space="preserve">This will reduce the cash outflow for next 3 month </t>
  </si>
  <si>
    <t>This will reduce cash outflow by 35000 from next month</t>
  </si>
  <si>
    <t>Amount to be paid</t>
  </si>
  <si>
    <t>idfc persoanl loan</t>
  </si>
  <si>
    <t xml:space="preserve">option of paying off icici completed </t>
  </si>
  <si>
    <t>This will reduce the cash outflow</t>
  </si>
  <si>
    <t>Savingds from Previous month</t>
  </si>
  <si>
    <t>total savings</t>
  </si>
  <si>
    <t>Closed</t>
  </si>
  <si>
    <t>Can be Closed</t>
  </si>
  <si>
    <t>Can be ClosedClosed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</si>
</sst>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55729-EF29-1545-9235-71DB55638635}">
  <dimension ref="A1:AL54"/>
  <sheetViews>
    <sheetView tabSelected="1" workbookViewId="0">
      <selection activeCell="AF5" sqref="AF5:AG5"/>
    </sheetView>
  </sheetViews>
  <sheetFormatPr baseColWidth="10" defaultRowHeight="16" x14ac:dyDescent="0.2"/>
  <sheetData>
    <row r="1" spans="1:38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38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38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F3" s="1" t="s">
        <v>74</v>
      </c>
      <c r="AG3" s="1"/>
      <c r="AH3" s="1"/>
    </row>
    <row r="4" spans="1:38" x14ac:dyDescent="0.2">
      <c r="A4" s="1" t="s">
        <v>1</v>
      </c>
      <c r="B4" s="1"/>
      <c r="C4" s="5" t="s">
        <v>2</v>
      </c>
      <c r="D4" s="5"/>
      <c r="E4" s="5"/>
      <c r="F4" s="1" t="s">
        <v>3</v>
      </c>
      <c r="G4" s="1"/>
      <c r="H4" s="1" t="s">
        <v>14</v>
      </c>
      <c r="I4" s="1"/>
      <c r="J4" s="1" t="s">
        <v>10</v>
      </c>
      <c r="K4" s="1"/>
      <c r="L4" s="1" t="s">
        <v>5</v>
      </c>
      <c r="M4" s="1"/>
      <c r="N4" s="1"/>
      <c r="O4" s="1"/>
      <c r="P4" s="1" t="s">
        <v>17</v>
      </c>
      <c r="Q4" s="1"/>
      <c r="R4" s="1"/>
      <c r="S4" s="1" t="s">
        <v>16</v>
      </c>
      <c r="T4" s="1"/>
      <c r="U4" s="1"/>
      <c r="W4" s="1" t="s">
        <v>63</v>
      </c>
      <c r="X4" s="1"/>
      <c r="Y4" s="1" t="s">
        <v>4</v>
      </c>
      <c r="Z4" s="1"/>
      <c r="AA4" s="1" t="s">
        <v>64</v>
      </c>
      <c r="AB4" s="1"/>
      <c r="AC4" s="1" t="s">
        <v>4</v>
      </c>
      <c r="AD4" s="1"/>
      <c r="AF4" t="s">
        <v>75</v>
      </c>
      <c r="AH4" s="1" t="s">
        <v>76</v>
      </c>
      <c r="AI4" s="1"/>
      <c r="AJ4" s="2"/>
      <c r="AK4" s="2"/>
      <c r="AL4" s="2"/>
    </row>
    <row r="5" spans="1:38" x14ac:dyDescent="0.2">
      <c r="A5" s="6" t="s">
        <v>46</v>
      </c>
      <c r="B5" s="1"/>
      <c r="C5" s="5" t="s">
        <v>6</v>
      </c>
      <c r="D5" s="5"/>
      <c r="E5" s="5"/>
      <c r="F5" s="1" t="s">
        <v>7</v>
      </c>
      <c r="G5" s="1"/>
      <c r="H5" s="1" t="s">
        <v>8</v>
      </c>
      <c r="I5" s="1"/>
      <c r="J5" s="1">
        <v>65000</v>
      </c>
      <c r="K5" s="1"/>
      <c r="L5" s="1" t="s">
        <v>9</v>
      </c>
      <c r="M5" s="1"/>
      <c r="N5" s="1"/>
      <c r="O5" s="1"/>
      <c r="P5" s="1">
        <v>5900000</v>
      </c>
      <c r="Q5" s="1"/>
      <c r="R5" s="1"/>
      <c r="S5" s="1" t="s">
        <v>18</v>
      </c>
      <c r="T5" s="1"/>
      <c r="U5" s="1"/>
      <c r="W5" s="1" t="s">
        <v>65</v>
      </c>
      <c r="X5" s="1"/>
      <c r="Y5" s="1">
        <v>58000</v>
      </c>
      <c r="Z5" s="1"/>
      <c r="AA5" s="1" t="s">
        <v>66</v>
      </c>
      <c r="AB5" s="1"/>
      <c r="AC5" s="1">
        <v>150000</v>
      </c>
      <c r="AD5" s="1"/>
      <c r="AF5" s="1"/>
      <c r="AG5" s="1"/>
      <c r="AH5" s="1">
        <f>AF5*85</f>
        <v>0</v>
      </c>
      <c r="AI5" s="1"/>
      <c r="AJ5" s="2"/>
      <c r="AK5" s="2"/>
      <c r="AL5" s="2"/>
    </row>
    <row r="6" spans="1:38" x14ac:dyDescent="0.2">
      <c r="A6" s="1"/>
      <c r="B6" s="1"/>
      <c r="C6" s="5" t="s">
        <v>11</v>
      </c>
      <c r="D6" s="5"/>
      <c r="E6" s="5"/>
      <c r="F6" s="1" t="s">
        <v>12</v>
      </c>
      <c r="G6" s="1"/>
      <c r="H6" s="1" t="s">
        <v>13</v>
      </c>
      <c r="I6" s="1"/>
      <c r="J6" s="1">
        <v>15000</v>
      </c>
      <c r="K6" s="1"/>
      <c r="L6" s="1" t="s">
        <v>15</v>
      </c>
      <c r="M6" s="1"/>
      <c r="N6" s="1"/>
      <c r="O6" s="1"/>
      <c r="P6" s="1">
        <v>150000</v>
      </c>
      <c r="Q6" s="1"/>
      <c r="R6" s="1"/>
      <c r="S6" s="1" t="s">
        <v>19</v>
      </c>
      <c r="T6" s="1"/>
      <c r="U6" s="1"/>
      <c r="W6" s="1" t="s">
        <v>68</v>
      </c>
      <c r="X6" s="1"/>
      <c r="Y6" s="1">
        <v>47000</v>
      </c>
      <c r="Z6" s="1"/>
      <c r="AA6" s="1" t="s">
        <v>67</v>
      </c>
      <c r="AB6" s="1"/>
      <c r="AC6" s="1">
        <v>40000</v>
      </c>
      <c r="AD6" s="1"/>
    </row>
    <row r="7" spans="1:38" x14ac:dyDescent="0.2">
      <c r="A7" s="1"/>
      <c r="B7" s="1"/>
      <c r="C7" s="5" t="s">
        <v>20</v>
      </c>
      <c r="D7" s="5"/>
      <c r="E7" s="5"/>
      <c r="F7" s="1" t="s">
        <v>12</v>
      </c>
      <c r="G7" s="1"/>
      <c r="H7" s="1" t="s">
        <v>21</v>
      </c>
      <c r="I7" s="1"/>
      <c r="J7" s="1">
        <v>13000</v>
      </c>
      <c r="K7" s="1"/>
      <c r="L7" s="1" t="s">
        <v>15</v>
      </c>
      <c r="M7" s="1"/>
      <c r="N7" s="1"/>
      <c r="O7" s="1"/>
      <c r="P7" s="1">
        <v>160000</v>
      </c>
      <c r="Q7" s="1"/>
      <c r="R7" s="1"/>
      <c r="S7" s="1" t="s">
        <v>22</v>
      </c>
      <c r="T7" s="1"/>
      <c r="U7" s="1"/>
      <c r="W7" s="1"/>
      <c r="X7" s="1"/>
      <c r="Y7" s="1"/>
      <c r="Z7" s="1"/>
      <c r="AA7" s="1"/>
      <c r="AB7" s="1"/>
      <c r="AC7" s="1"/>
      <c r="AD7" s="1"/>
    </row>
    <row r="8" spans="1:38" x14ac:dyDescent="0.2">
      <c r="A8" s="1"/>
      <c r="B8" s="1"/>
      <c r="C8" s="5" t="s">
        <v>85</v>
      </c>
      <c r="D8" s="5"/>
      <c r="E8" s="5"/>
      <c r="F8" s="1" t="s">
        <v>7</v>
      </c>
      <c r="G8" s="1"/>
      <c r="H8" s="1" t="s">
        <v>23</v>
      </c>
      <c r="I8" s="1"/>
      <c r="J8" s="1">
        <v>13000</v>
      </c>
      <c r="K8" s="1"/>
      <c r="L8" s="1" t="s">
        <v>24</v>
      </c>
      <c r="M8" s="1"/>
      <c r="N8" s="1"/>
      <c r="O8" s="1"/>
      <c r="P8" s="1">
        <v>345000</v>
      </c>
      <c r="Q8" s="1"/>
      <c r="R8" s="1"/>
      <c r="S8" s="1" t="s">
        <v>18</v>
      </c>
      <c r="T8" s="1"/>
      <c r="U8" s="1"/>
      <c r="W8" s="1"/>
      <c r="X8" s="1"/>
      <c r="Y8" s="1"/>
      <c r="Z8" s="1"/>
      <c r="AA8" s="1"/>
      <c r="AB8" s="1"/>
      <c r="AC8" s="1"/>
      <c r="AD8" s="1"/>
    </row>
    <row r="9" spans="1:38" x14ac:dyDescent="0.2">
      <c r="A9" s="1"/>
      <c r="B9" s="1"/>
      <c r="C9" s="5" t="s">
        <v>28</v>
      </c>
      <c r="D9" s="5"/>
      <c r="E9" s="5"/>
      <c r="F9" s="1" t="s">
        <v>7</v>
      </c>
      <c r="G9" s="1"/>
      <c r="H9" s="1" t="s">
        <v>25</v>
      </c>
      <c r="I9" s="1"/>
      <c r="J9" s="1">
        <v>15000</v>
      </c>
      <c r="K9" s="1"/>
      <c r="L9" s="1" t="s">
        <v>26</v>
      </c>
      <c r="M9" s="1"/>
      <c r="N9" s="1"/>
      <c r="O9" s="1"/>
      <c r="P9" s="1"/>
      <c r="Q9" s="1"/>
      <c r="R9" s="1"/>
      <c r="S9" s="1" t="s">
        <v>27</v>
      </c>
      <c r="T9" s="1"/>
      <c r="U9" s="1"/>
      <c r="W9" s="1"/>
      <c r="X9" s="1"/>
      <c r="Y9" s="1"/>
      <c r="Z9" s="1"/>
      <c r="AA9" s="1"/>
      <c r="AB9" s="1"/>
      <c r="AC9" s="1"/>
      <c r="AD9" s="1"/>
    </row>
    <row r="10" spans="1:38" x14ac:dyDescent="0.2">
      <c r="A10" s="1"/>
      <c r="B10" s="1"/>
      <c r="C10" s="5" t="s">
        <v>29</v>
      </c>
      <c r="D10" s="5"/>
      <c r="E10" s="5"/>
      <c r="F10" s="1" t="s">
        <v>7</v>
      </c>
      <c r="G10" s="1"/>
      <c r="H10" s="1" t="s">
        <v>30</v>
      </c>
      <c r="I10" s="1"/>
      <c r="J10" s="1">
        <v>25000</v>
      </c>
      <c r="K10" s="1"/>
      <c r="L10" s="1" t="s">
        <v>31</v>
      </c>
      <c r="M10" s="1"/>
      <c r="N10" s="1"/>
      <c r="O10" s="1"/>
      <c r="P10" s="1"/>
      <c r="Q10" s="1"/>
      <c r="R10" s="1"/>
      <c r="S10" s="1" t="s">
        <v>32</v>
      </c>
      <c r="T10" s="1"/>
      <c r="U10" s="1"/>
      <c r="W10" s="1" t="s">
        <v>73</v>
      </c>
      <c r="X10" s="1"/>
      <c r="Y10" s="1">
        <f>AH5</f>
        <v>0</v>
      </c>
      <c r="Z10" s="1"/>
      <c r="AA10" s="1"/>
      <c r="AB10" s="1"/>
      <c r="AC10" s="1"/>
      <c r="AD10" s="1"/>
    </row>
    <row r="11" spans="1:38" x14ac:dyDescent="0.2">
      <c r="A11" s="1"/>
      <c r="B11" s="1"/>
      <c r="C11" s="5" t="s">
        <v>33</v>
      </c>
      <c r="D11" s="5"/>
      <c r="E11" s="5"/>
      <c r="F11" s="1" t="s">
        <v>7</v>
      </c>
      <c r="G11" s="1"/>
      <c r="H11" s="1" t="s">
        <v>25</v>
      </c>
      <c r="I11" s="1"/>
      <c r="J11" s="1">
        <v>10000</v>
      </c>
      <c r="K11" s="1"/>
      <c r="L11" s="1" t="s">
        <v>24</v>
      </c>
      <c r="M11" s="1"/>
      <c r="N11" s="1"/>
      <c r="O11" s="1"/>
      <c r="P11" s="1"/>
      <c r="Q11" s="1"/>
      <c r="R11" s="1"/>
      <c r="S11" s="1" t="s">
        <v>34</v>
      </c>
      <c r="T11" s="1"/>
      <c r="U11" s="1"/>
      <c r="W11" s="1"/>
      <c r="X11" s="1"/>
      <c r="Y11" s="1"/>
      <c r="Z11" s="1"/>
      <c r="AA11" s="1"/>
      <c r="AB11" s="1"/>
      <c r="AC11" s="1"/>
      <c r="AD11" s="1"/>
    </row>
    <row r="12" spans="1:38" x14ac:dyDescent="0.2">
      <c r="A12" s="1"/>
      <c r="B12" s="1"/>
      <c r="C12" s="5" t="s">
        <v>35</v>
      </c>
      <c r="D12" s="5"/>
      <c r="E12" s="5"/>
      <c r="F12" s="1" t="s">
        <v>7</v>
      </c>
      <c r="G12" s="1"/>
      <c r="H12" s="1" t="s">
        <v>36</v>
      </c>
      <c r="I12" s="1"/>
      <c r="J12" s="1">
        <v>15000</v>
      </c>
      <c r="K12" s="1"/>
      <c r="L12" s="1" t="s">
        <v>37</v>
      </c>
      <c r="M12" s="1"/>
      <c r="N12" s="1"/>
      <c r="O12" s="1"/>
      <c r="P12" s="1">
        <v>90000</v>
      </c>
      <c r="Q12" s="1"/>
      <c r="R12" s="1"/>
      <c r="S12" s="1" t="s">
        <v>38</v>
      </c>
      <c r="T12" s="1"/>
      <c r="U12" s="1"/>
      <c r="W12" s="1"/>
      <c r="X12" s="1"/>
      <c r="Y12" s="1"/>
      <c r="Z12" s="1"/>
      <c r="AA12" s="1"/>
      <c r="AB12" s="1"/>
      <c r="AC12" s="1"/>
      <c r="AD12" s="1"/>
    </row>
    <row r="13" spans="1:38" x14ac:dyDescent="0.2">
      <c r="A13" s="1"/>
      <c r="B13" s="1"/>
      <c r="C13" s="5" t="s">
        <v>39</v>
      </c>
      <c r="D13" s="5"/>
      <c r="E13" s="5"/>
      <c r="F13" s="1" t="s">
        <v>7</v>
      </c>
      <c r="G13" s="1"/>
      <c r="H13" s="1" t="s">
        <v>40</v>
      </c>
      <c r="I13" s="1"/>
      <c r="J13" s="1">
        <v>10000</v>
      </c>
      <c r="K13" s="1"/>
      <c r="L13" s="1" t="s">
        <v>41</v>
      </c>
      <c r="M13" s="1"/>
      <c r="N13" s="1"/>
      <c r="O13" s="1"/>
      <c r="P13" s="1"/>
      <c r="Q13" s="1"/>
      <c r="R13" s="1"/>
      <c r="S13" s="1" t="s">
        <v>34</v>
      </c>
      <c r="T13" s="1"/>
      <c r="U13" s="1"/>
      <c r="W13" s="1"/>
      <c r="X13" s="1"/>
      <c r="Y13" s="1"/>
      <c r="Z13" s="1"/>
      <c r="AA13" s="1"/>
      <c r="AB13" s="1"/>
      <c r="AC13" s="1"/>
      <c r="AD13" s="1"/>
    </row>
    <row r="14" spans="1:38" x14ac:dyDescent="0.2">
      <c r="A14" s="1"/>
      <c r="B14" s="1"/>
      <c r="C14" s="5" t="s">
        <v>42</v>
      </c>
      <c r="D14" s="5"/>
      <c r="E14" s="5"/>
      <c r="F14" s="1" t="s">
        <v>7</v>
      </c>
      <c r="G14" s="1"/>
      <c r="H14" s="1" t="s">
        <v>44</v>
      </c>
      <c r="I14" s="1"/>
      <c r="J14" s="1">
        <v>10000</v>
      </c>
      <c r="K14" s="1"/>
      <c r="L14" s="1" t="s">
        <v>43</v>
      </c>
      <c r="M14" s="1"/>
      <c r="N14" s="1"/>
      <c r="O14" s="1"/>
      <c r="P14" s="1"/>
      <c r="Q14" s="1"/>
      <c r="R14" s="1"/>
      <c r="S14" s="1" t="s">
        <v>45</v>
      </c>
      <c r="T14" s="1"/>
      <c r="U14" s="1"/>
      <c r="W14" s="1"/>
      <c r="X14" s="1"/>
      <c r="Y14" s="1"/>
      <c r="Z14" s="1"/>
      <c r="AA14" s="1"/>
      <c r="AB14" s="1"/>
      <c r="AC14" s="1"/>
      <c r="AD14" s="1"/>
    </row>
    <row r="15" spans="1:38" x14ac:dyDescent="0.2">
      <c r="A15" s="1" t="s">
        <v>47</v>
      </c>
      <c r="B15" s="1"/>
      <c r="C15" s="5" t="s">
        <v>48</v>
      </c>
      <c r="D15" s="5"/>
      <c r="E15" s="5"/>
      <c r="F15" s="1" t="s">
        <v>7</v>
      </c>
      <c r="G15" s="1"/>
      <c r="H15" s="1" t="s">
        <v>25</v>
      </c>
      <c r="I15" s="1"/>
      <c r="J15" s="1">
        <v>6000</v>
      </c>
      <c r="K15" s="1"/>
      <c r="L15" s="1" t="s">
        <v>49</v>
      </c>
      <c r="M15" s="1"/>
      <c r="N15" s="1"/>
      <c r="O15" s="1"/>
      <c r="P15" s="1"/>
      <c r="Q15" s="1"/>
      <c r="R15" s="1"/>
      <c r="S15" s="1" t="s">
        <v>34</v>
      </c>
      <c r="T15" s="1"/>
      <c r="U15" s="1"/>
      <c r="W15" s="1"/>
      <c r="X15" s="1"/>
      <c r="Y15" s="1"/>
      <c r="Z15" s="1"/>
      <c r="AA15" s="1"/>
      <c r="AB15" s="1"/>
      <c r="AC15" s="1"/>
      <c r="AD15" s="1"/>
    </row>
    <row r="16" spans="1:38" x14ac:dyDescent="0.2">
      <c r="A16" s="1"/>
      <c r="B16" s="1"/>
      <c r="C16" s="5" t="s">
        <v>50</v>
      </c>
      <c r="D16" s="5"/>
      <c r="E16" s="5"/>
      <c r="F16" s="1" t="s">
        <v>7</v>
      </c>
      <c r="G16" s="1"/>
      <c r="H16" s="1" t="s">
        <v>51</v>
      </c>
      <c r="I16" s="1"/>
      <c r="J16" s="1">
        <v>20000</v>
      </c>
      <c r="K16" s="1"/>
      <c r="L16" s="1" t="s">
        <v>52</v>
      </c>
      <c r="M16" s="1"/>
      <c r="N16" s="1"/>
      <c r="O16" s="1"/>
      <c r="P16" s="1">
        <v>528000</v>
      </c>
      <c r="Q16" s="1"/>
      <c r="R16" s="1"/>
      <c r="S16" s="1" t="s">
        <v>34</v>
      </c>
      <c r="T16" s="1"/>
      <c r="U16" s="1"/>
      <c r="W16" s="1"/>
      <c r="X16" s="1"/>
      <c r="Y16" s="1"/>
      <c r="Z16" s="1"/>
      <c r="AA16" s="1"/>
      <c r="AB16" s="1"/>
      <c r="AC16" s="1"/>
      <c r="AD16" s="1"/>
    </row>
    <row r="17" spans="1:30" x14ac:dyDescent="0.2">
      <c r="A17" s="1"/>
      <c r="B17" s="1"/>
      <c r="C17" s="5" t="s">
        <v>53</v>
      </c>
      <c r="D17" s="5"/>
      <c r="E17" s="5"/>
      <c r="F17" s="1" t="s">
        <v>7</v>
      </c>
      <c r="G17" s="1"/>
      <c r="H17" s="1" t="s">
        <v>54</v>
      </c>
      <c r="I17" s="1"/>
      <c r="J17" s="1">
        <v>25000</v>
      </c>
      <c r="K17" s="1"/>
      <c r="L17" s="1" t="s">
        <v>52</v>
      </c>
      <c r="M17" s="1"/>
      <c r="N17" s="1"/>
      <c r="O17" s="1"/>
      <c r="P17" s="1">
        <v>724000</v>
      </c>
      <c r="Q17" s="1"/>
      <c r="R17" s="1"/>
      <c r="S17" s="1" t="s">
        <v>34</v>
      </c>
      <c r="T17" s="1"/>
      <c r="U17" s="1"/>
      <c r="W17" s="1"/>
      <c r="X17" s="1"/>
      <c r="Y17" s="1"/>
      <c r="Z17" s="1"/>
      <c r="AA17" s="1"/>
      <c r="AB17" s="1"/>
      <c r="AC17" s="1"/>
      <c r="AD17" s="1"/>
    </row>
    <row r="18" spans="1:30" x14ac:dyDescent="0.2">
      <c r="A18" s="1"/>
      <c r="B18" s="1"/>
      <c r="C18" s="5" t="s">
        <v>39</v>
      </c>
      <c r="D18" s="5"/>
      <c r="E18" s="5"/>
      <c r="F18" s="1" t="s">
        <v>7</v>
      </c>
      <c r="G18" s="1"/>
      <c r="H18" s="1" t="s">
        <v>25</v>
      </c>
      <c r="I18" s="1"/>
      <c r="J18" s="1">
        <v>10000</v>
      </c>
      <c r="K18" s="1"/>
      <c r="L18" s="1" t="s">
        <v>41</v>
      </c>
      <c r="M18" s="1"/>
      <c r="N18" s="1"/>
      <c r="O18" s="1"/>
      <c r="P18" s="1"/>
      <c r="Q18" s="1"/>
      <c r="R18" s="1"/>
      <c r="S18" s="1" t="s">
        <v>34</v>
      </c>
      <c r="T18" s="1"/>
      <c r="U18" s="1"/>
      <c r="W18" s="1"/>
      <c r="X18" s="1"/>
      <c r="Y18" s="1"/>
      <c r="Z18" s="1"/>
      <c r="AA18" s="1"/>
      <c r="AB18" s="1"/>
      <c r="AC18" s="1"/>
      <c r="AD18" s="1"/>
    </row>
    <row r="19" spans="1:30" x14ac:dyDescent="0.2">
      <c r="A19" s="1" t="s">
        <v>55</v>
      </c>
      <c r="B19" s="1"/>
      <c r="C19" s="5" t="s">
        <v>56</v>
      </c>
      <c r="D19" s="5"/>
      <c r="E19" s="5"/>
      <c r="F19" s="1" t="s">
        <v>7</v>
      </c>
      <c r="G19" s="1"/>
      <c r="H19" s="1" t="s">
        <v>25</v>
      </c>
      <c r="I19" s="1"/>
      <c r="J19" s="1">
        <v>21000</v>
      </c>
      <c r="K19" s="1"/>
      <c r="L19" s="1" t="s">
        <v>57</v>
      </c>
      <c r="M19" s="1"/>
      <c r="N19" s="1"/>
      <c r="O19" s="1"/>
      <c r="P19" s="1">
        <v>1000000</v>
      </c>
      <c r="Q19" s="1"/>
      <c r="R19" s="1"/>
      <c r="S19" s="1" t="s">
        <v>34</v>
      </c>
      <c r="T19" s="1"/>
      <c r="U19" s="1"/>
      <c r="W19" s="1"/>
      <c r="X19" s="1"/>
      <c r="Y19" s="1"/>
      <c r="Z19" s="1"/>
      <c r="AA19" s="1"/>
      <c r="AB19" s="1"/>
      <c r="AC19" s="1"/>
      <c r="AD19" s="1"/>
    </row>
    <row r="20" spans="1:30" x14ac:dyDescent="0.2">
      <c r="A20" s="1"/>
      <c r="B20" s="1"/>
      <c r="C20" s="5" t="s">
        <v>58</v>
      </c>
      <c r="D20" s="5"/>
      <c r="E20" s="5"/>
      <c r="F20" s="1" t="s">
        <v>7</v>
      </c>
      <c r="G20" s="1"/>
      <c r="H20" s="1" t="s">
        <v>59</v>
      </c>
      <c r="I20" s="1"/>
      <c r="J20" s="1">
        <v>6000</v>
      </c>
      <c r="K20" s="1"/>
      <c r="L20" s="1" t="s">
        <v>57</v>
      </c>
      <c r="M20" s="1"/>
      <c r="N20" s="1"/>
      <c r="O20" s="1"/>
      <c r="P20" s="1">
        <v>1000000</v>
      </c>
      <c r="Q20" s="1"/>
      <c r="R20" s="1"/>
      <c r="S20" s="1" t="s">
        <v>34</v>
      </c>
      <c r="T20" s="1"/>
      <c r="U20" s="1"/>
      <c r="W20" s="1"/>
      <c r="X20" s="1"/>
      <c r="Y20" s="1"/>
      <c r="Z20" s="1"/>
      <c r="AA20" s="1"/>
      <c r="AB20" s="1"/>
      <c r="AC20" s="1"/>
      <c r="AD20" s="1"/>
    </row>
    <row r="21" spans="1:30" x14ac:dyDescent="0.2">
      <c r="A21" s="1"/>
      <c r="B21" s="1"/>
      <c r="C21" s="5" t="s">
        <v>60</v>
      </c>
      <c r="D21" s="5"/>
      <c r="E21" s="5"/>
      <c r="F21" s="1" t="s">
        <v>7</v>
      </c>
      <c r="G21" s="1"/>
      <c r="H21" s="1" t="s">
        <v>25</v>
      </c>
      <c r="I21" s="1"/>
      <c r="J21" s="1">
        <v>3000</v>
      </c>
      <c r="K21" s="1"/>
      <c r="L21" s="1" t="s">
        <v>61</v>
      </c>
      <c r="M21" s="1"/>
      <c r="N21" s="1"/>
      <c r="O21" s="1"/>
      <c r="P21" s="1"/>
      <c r="Q21" s="1"/>
      <c r="R21" s="1"/>
      <c r="S21" s="1" t="s">
        <v>34</v>
      </c>
      <c r="T21" s="1"/>
      <c r="U21" s="1"/>
      <c r="W21" s="1"/>
      <c r="X21" s="1"/>
      <c r="Y21" s="1"/>
      <c r="Z21" s="1"/>
      <c r="AA21" s="1"/>
      <c r="AB21" s="1"/>
      <c r="AC21" s="1"/>
      <c r="AD21" s="1"/>
    </row>
    <row r="22" spans="1:30" x14ac:dyDescent="0.2">
      <c r="A22" s="1"/>
      <c r="B22" s="1"/>
      <c r="C22" s="5" t="s">
        <v>62</v>
      </c>
      <c r="D22" s="5"/>
      <c r="E22" s="5"/>
      <c r="F22" s="1" t="s">
        <v>7</v>
      </c>
      <c r="G22" s="1"/>
      <c r="H22" s="1" t="s">
        <v>38</v>
      </c>
      <c r="I22" s="1"/>
      <c r="J22" s="1">
        <v>20000</v>
      </c>
      <c r="K22" s="1"/>
      <c r="L22" s="1" t="s">
        <v>15</v>
      </c>
      <c r="M22" s="1"/>
      <c r="N22" s="1"/>
      <c r="O22" s="1"/>
      <c r="P22" s="1">
        <v>100000</v>
      </c>
      <c r="Q22" s="1"/>
      <c r="R22" s="1"/>
      <c r="S22" s="1" t="s">
        <v>19</v>
      </c>
      <c r="T22" s="1"/>
      <c r="U22" s="1"/>
      <c r="W22" s="1"/>
      <c r="X22" s="1"/>
      <c r="Y22" s="1"/>
      <c r="Z22" s="1"/>
      <c r="AA22" s="1"/>
      <c r="AB22" s="1"/>
      <c r="AC22" s="1"/>
      <c r="AD22" s="1"/>
    </row>
    <row r="23" spans="1:30" x14ac:dyDescent="0.2">
      <c r="A23" s="1"/>
      <c r="B23" s="1"/>
      <c r="C23" s="5" t="s">
        <v>29</v>
      </c>
      <c r="D23" s="5"/>
      <c r="E23" s="5"/>
      <c r="F23" s="1" t="s">
        <v>7</v>
      </c>
      <c r="G23" s="1"/>
      <c r="H23" s="1" t="s">
        <v>30</v>
      </c>
      <c r="I23" s="1"/>
      <c r="J23" s="1">
        <v>30000</v>
      </c>
      <c r="K23" s="1"/>
      <c r="L23" s="1" t="s">
        <v>31</v>
      </c>
      <c r="M23" s="1"/>
      <c r="N23" s="1"/>
      <c r="O23" s="1"/>
      <c r="P23" s="1"/>
      <c r="Q23" s="1"/>
      <c r="R23" s="1"/>
      <c r="S23" s="1" t="s">
        <v>32</v>
      </c>
      <c r="T23" s="1"/>
      <c r="U23" s="1"/>
      <c r="W23" s="1"/>
      <c r="X23" s="1"/>
      <c r="Y23" s="1"/>
      <c r="Z23" s="1"/>
      <c r="AA23" s="1"/>
      <c r="AB23" s="1"/>
      <c r="AC23" s="1"/>
      <c r="AD23" s="1"/>
    </row>
    <row r="24" spans="1:30" x14ac:dyDescent="0.2">
      <c r="A24" s="1"/>
      <c r="B24" s="1"/>
      <c r="C24" s="5"/>
      <c r="D24" s="5"/>
      <c r="E24" s="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W24" s="1"/>
      <c r="X24" s="1"/>
      <c r="Y24" s="1"/>
      <c r="Z24" s="1"/>
      <c r="AA24" s="1"/>
      <c r="AB24" s="1"/>
      <c r="AC24" s="1"/>
      <c r="AD24" s="1"/>
    </row>
    <row r="25" spans="1:30" x14ac:dyDescent="0.2">
      <c r="A25" s="1"/>
      <c r="B25" s="1"/>
      <c r="C25" s="5"/>
      <c r="D25" s="5"/>
      <c r="E25" s="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W25" s="1"/>
      <c r="X25" s="1"/>
      <c r="Y25" s="1"/>
      <c r="Z25" s="1"/>
      <c r="AA25" s="1"/>
      <c r="AB25" s="1"/>
      <c r="AC25" s="1"/>
      <c r="AD25" s="1"/>
    </row>
    <row r="26" spans="1:30" x14ac:dyDescent="0.2">
      <c r="A26" s="1"/>
      <c r="B26" s="1"/>
      <c r="C26" s="5"/>
      <c r="D26" s="5"/>
      <c r="E26" s="5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W26" s="1"/>
      <c r="X26" s="1"/>
      <c r="Y26" s="1"/>
      <c r="Z26" s="1"/>
      <c r="AA26" s="1"/>
      <c r="AB26" s="1"/>
      <c r="AC26" s="1"/>
      <c r="AD26" s="1"/>
    </row>
    <row r="27" spans="1:30" x14ac:dyDescent="0.2">
      <c r="A27" s="1"/>
      <c r="B27" s="1"/>
      <c r="C27" s="5"/>
      <c r="D27" s="5"/>
      <c r="E27" s="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W27" s="1"/>
      <c r="X27" s="1"/>
      <c r="Y27" s="1"/>
      <c r="Z27" s="1"/>
      <c r="AA27" s="1"/>
      <c r="AB27" s="1"/>
      <c r="AC27" s="1"/>
      <c r="AD27" s="1"/>
    </row>
    <row r="28" spans="1:30" x14ac:dyDescent="0.2">
      <c r="A28" s="1"/>
      <c r="B28" s="1"/>
      <c r="C28" s="5"/>
      <c r="D28" s="5"/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W28" s="1"/>
      <c r="X28" s="1"/>
      <c r="Y28" s="1"/>
      <c r="Z28" s="1"/>
      <c r="AA28" s="1"/>
      <c r="AB28" s="1"/>
      <c r="AC28" s="1"/>
      <c r="AD28" s="1"/>
    </row>
    <row r="29" spans="1:30" x14ac:dyDescent="0.2">
      <c r="A29" s="1"/>
      <c r="B29" s="1"/>
      <c r="C29" s="5"/>
      <c r="D29" s="5"/>
      <c r="E29" s="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W29" s="1"/>
      <c r="X29" s="1"/>
      <c r="Y29" s="1"/>
      <c r="Z29" s="1"/>
      <c r="AA29" s="1"/>
      <c r="AB29" s="1"/>
      <c r="AC29" s="1"/>
      <c r="AD29" s="1"/>
    </row>
    <row r="30" spans="1:30" x14ac:dyDescent="0.2">
      <c r="A30" s="1"/>
      <c r="B30" s="1"/>
      <c r="C30" s="5"/>
      <c r="D30" s="5"/>
      <c r="E30" s="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W30" s="1"/>
      <c r="X30" s="1"/>
      <c r="Y30" s="1"/>
      <c r="Z30" s="1"/>
      <c r="AA30" s="1"/>
      <c r="AB30" s="1"/>
      <c r="AC30" s="1"/>
      <c r="AD30" s="1"/>
    </row>
    <row r="31" spans="1:30" x14ac:dyDescent="0.2">
      <c r="A31" s="1"/>
      <c r="B31" s="1"/>
      <c r="C31" s="5"/>
      <c r="D31" s="5"/>
      <c r="E31" s="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W31" s="1"/>
      <c r="X31" s="1"/>
      <c r="Y31" s="1"/>
      <c r="Z31" s="1"/>
      <c r="AA31" s="1"/>
      <c r="AB31" s="1"/>
      <c r="AC31" s="1"/>
      <c r="AD31" s="1"/>
    </row>
    <row r="32" spans="1:30" x14ac:dyDescent="0.2">
      <c r="A32" s="1"/>
      <c r="B32" s="1"/>
      <c r="C32" s="5"/>
      <c r="D32" s="5"/>
      <c r="E32" s="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W32" s="1"/>
      <c r="X32" s="1"/>
      <c r="Y32" s="1"/>
      <c r="Z32" s="1"/>
      <c r="AA32" s="1"/>
      <c r="AB32" s="1"/>
      <c r="AC32" s="1"/>
      <c r="AD32" s="1"/>
    </row>
    <row r="33" spans="1:30" x14ac:dyDescent="0.2">
      <c r="A33" s="1"/>
      <c r="B33" s="1"/>
      <c r="C33" s="5"/>
      <c r="D33" s="5"/>
      <c r="E33" s="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W33" s="1"/>
      <c r="X33" s="1"/>
      <c r="Y33" s="1"/>
      <c r="Z33" s="1"/>
      <c r="AA33" s="1"/>
      <c r="AB33" s="1"/>
      <c r="AC33" s="1"/>
      <c r="AD33" s="1"/>
    </row>
    <row r="34" spans="1:30" x14ac:dyDescent="0.2">
      <c r="A34" s="1"/>
      <c r="B34" s="1"/>
      <c r="C34" s="5"/>
      <c r="D34" s="5"/>
      <c r="E34" s="5"/>
      <c r="F34" s="1"/>
      <c r="G34" s="1"/>
      <c r="H34" s="1" t="s">
        <v>70</v>
      </c>
      <c r="I34" s="1"/>
      <c r="J34" s="1">
        <f>SUM(J5:J23)</f>
        <v>332000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W34" s="1"/>
      <c r="X34" s="1"/>
      <c r="Y34" s="1">
        <f>SUM(Y5:Z33)</f>
        <v>105000</v>
      </c>
      <c r="Z34" s="1"/>
      <c r="AA34" s="1"/>
      <c r="AB34" s="1"/>
      <c r="AC34" s="1">
        <f>SUM(AC5:AD33)</f>
        <v>190000</v>
      </c>
      <c r="AD34" s="1"/>
    </row>
    <row r="35" spans="1:30" x14ac:dyDescent="0.2">
      <c r="A35" s="1"/>
      <c r="B35" s="1"/>
      <c r="C35" s="5"/>
      <c r="D35" s="5"/>
      <c r="E35" s="5"/>
      <c r="F35" s="1"/>
      <c r="G35" s="1"/>
      <c r="H35" s="1" t="s">
        <v>71</v>
      </c>
      <c r="I35" s="1"/>
      <c r="J35" s="1">
        <f>AA36</f>
        <v>295000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W35" s="1"/>
      <c r="X35" s="1"/>
      <c r="Y35" s="1"/>
      <c r="Z35" s="1"/>
      <c r="AA35" s="1"/>
      <c r="AB35" s="1"/>
      <c r="AC35" s="1"/>
      <c r="AD35" s="1"/>
    </row>
    <row r="36" spans="1:30" x14ac:dyDescent="0.2">
      <c r="A36" s="1"/>
      <c r="B36" s="1"/>
      <c r="C36" s="5"/>
      <c r="D36" s="5"/>
      <c r="E36" s="5"/>
      <c r="F36" s="1"/>
      <c r="G36" s="1"/>
      <c r="H36" s="1" t="s">
        <v>72</v>
      </c>
      <c r="I36" s="1"/>
      <c r="J36" s="1">
        <f>J35-J34</f>
        <v>-37000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W36" s="1" t="s">
        <v>69</v>
      </c>
      <c r="X36" s="1"/>
      <c r="Y36" s="1"/>
      <c r="Z36" s="1"/>
      <c r="AA36" s="1">
        <f>Y34+AC34</f>
        <v>295000</v>
      </c>
      <c r="AB36" s="1"/>
      <c r="AC36" s="1"/>
      <c r="AD36" s="1"/>
    </row>
    <row r="37" spans="1:30" x14ac:dyDescent="0.2">
      <c r="A37" s="1"/>
      <c r="B37" s="1"/>
      <c r="C37" s="5"/>
      <c r="D37" s="5"/>
      <c r="E37" s="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9" spans="1:30" x14ac:dyDescent="0.2">
      <c r="D39" s="1" t="s">
        <v>77</v>
      </c>
      <c r="E39" s="1"/>
      <c r="F39" s="1"/>
      <c r="G39" s="1"/>
      <c r="H39" s="1"/>
      <c r="I39" s="1"/>
      <c r="J39" s="1" t="s">
        <v>78</v>
      </c>
      <c r="K39" s="1"/>
      <c r="L39" s="1"/>
      <c r="M39" s="1"/>
      <c r="N39" s="1"/>
      <c r="O39" s="1"/>
      <c r="P39" s="1" t="s">
        <v>64</v>
      </c>
      <c r="Q39" s="1"/>
      <c r="R39" t="s">
        <v>84</v>
      </c>
    </row>
    <row r="40" spans="1:30" x14ac:dyDescent="0.2">
      <c r="D40" s="1"/>
      <c r="E40" s="1"/>
      <c r="F40" s="1"/>
      <c r="G40" s="1"/>
      <c r="H40" s="1"/>
      <c r="I40" s="1"/>
      <c r="K40" s="1"/>
      <c r="L40" s="1"/>
      <c r="M40" s="1"/>
      <c r="N40" s="1"/>
      <c r="O40" s="1"/>
      <c r="P40" s="1"/>
      <c r="Q40" s="1"/>
    </row>
    <row r="41" spans="1:30" x14ac:dyDescent="0.2">
      <c r="C41">
        <v>1</v>
      </c>
      <c r="D41" s="1" t="s">
        <v>79</v>
      </c>
      <c r="E41" s="1"/>
      <c r="F41" s="1"/>
      <c r="G41" s="1"/>
      <c r="H41" s="1"/>
      <c r="I41" s="1"/>
      <c r="K41" s="1" t="s">
        <v>80</v>
      </c>
      <c r="L41" s="1"/>
      <c r="M41" s="1"/>
      <c r="N41" s="1"/>
      <c r="O41" s="1"/>
      <c r="P41" s="1">
        <v>15000</v>
      </c>
      <c r="Q41" s="1"/>
      <c r="R41">
        <v>150000</v>
      </c>
    </row>
    <row r="42" spans="1:30" x14ac:dyDescent="0.2">
      <c r="C42">
        <v>2</v>
      </c>
      <c r="D42" s="1" t="s">
        <v>81</v>
      </c>
      <c r="E42" s="1"/>
      <c r="F42" s="1"/>
      <c r="G42" s="1"/>
      <c r="H42" s="1"/>
      <c r="I42" s="1"/>
      <c r="K42" s="1" t="s">
        <v>82</v>
      </c>
      <c r="L42" s="1"/>
      <c r="M42" s="1"/>
      <c r="N42" s="1"/>
      <c r="O42" s="1"/>
      <c r="P42" s="1">
        <v>20000</v>
      </c>
      <c r="Q42" s="1"/>
      <c r="R42">
        <v>60000</v>
      </c>
    </row>
    <row r="43" spans="1:30" x14ac:dyDescent="0.2">
      <c r="C43">
        <v>3</v>
      </c>
      <c r="D43" s="1" t="s">
        <v>86</v>
      </c>
      <c r="E43" s="1"/>
      <c r="F43" s="1"/>
      <c r="G43" s="1"/>
      <c r="H43" s="1"/>
      <c r="I43" s="1"/>
      <c r="K43" s="1" t="s">
        <v>87</v>
      </c>
      <c r="L43" s="1"/>
      <c r="M43" s="1"/>
      <c r="N43" s="1"/>
      <c r="O43" s="1"/>
      <c r="P43" s="1">
        <v>15000</v>
      </c>
      <c r="Q43" s="1"/>
    </row>
    <row r="44" spans="1:30" x14ac:dyDescent="0.2">
      <c r="D44" s="1"/>
      <c r="E44" s="1"/>
      <c r="F44" s="1"/>
      <c r="G44" s="1"/>
      <c r="H44" s="1"/>
      <c r="I44" s="1"/>
      <c r="K44" s="1"/>
      <c r="L44" s="1"/>
      <c r="M44" s="1"/>
      <c r="N44" s="1"/>
      <c r="O44" s="1"/>
      <c r="P44" s="1"/>
      <c r="Q44" s="1"/>
    </row>
    <row r="45" spans="1:30" x14ac:dyDescent="0.2">
      <c r="D45" s="1"/>
      <c r="E45" s="1"/>
      <c r="F45" s="1"/>
      <c r="G45" s="1"/>
      <c r="H45" s="1"/>
      <c r="I45" s="1"/>
      <c r="K45" s="1"/>
      <c r="L45" s="1"/>
      <c r="M45" s="1"/>
      <c r="N45" s="1"/>
      <c r="O45" s="1"/>
      <c r="P45" s="1"/>
      <c r="Q45" s="1"/>
    </row>
    <row r="46" spans="1:30" x14ac:dyDescent="0.2">
      <c r="D46" s="1"/>
      <c r="E46" s="1"/>
      <c r="F46" s="1"/>
      <c r="G46" s="1"/>
      <c r="H46" s="1"/>
      <c r="I46" s="1"/>
      <c r="K46" s="1"/>
      <c r="L46" s="1"/>
      <c r="M46" s="1"/>
      <c r="N46" s="1"/>
      <c r="O46" s="1"/>
      <c r="P46" s="1"/>
      <c r="Q46" s="1"/>
    </row>
    <row r="47" spans="1:30" x14ac:dyDescent="0.2">
      <c r="D47" s="1"/>
      <c r="E47" s="1"/>
      <c r="F47" s="1"/>
      <c r="G47" s="1"/>
      <c r="H47" s="1"/>
      <c r="I47" s="1"/>
      <c r="K47" s="1"/>
      <c r="L47" s="1"/>
      <c r="M47" s="1"/>
      <c r="N47" s="1"/>
      <c r="O47" s="1"/>
      <c r="P47" s="1"/>
      <c r="Q47" s="1"/>
    </row>
    <row r="48" spans="1:30" x14ac:dyDescent="0.2">
      <c r="D48" s="1"/>
      <c r="E48" s="1"/>
      <c r="F48" s="1"/>
      <c r="G48" s="1"/>
      <c r="H48" s="1"/>
      <c r="I48" s="1"/>
      <c r="K48" s="1"/>
      <c r="L48" s="1"/>
      <c r="M48" s="1"/>
      <c r="N48" s="1"/>
      <c r="O48" s="1"/>
      <c r="P48" s="1"/>
      <c r="Q48" s="1"/>
    </row>
    <row r="49" spans="4:18" x14ac:dyDescent="0.2">
      <c r="D49" s="1"/>
      <c r="E49" s="1"/>
      <c r="F49" s="1"/>
      <c r="G49" s="1"/>
      <c r="H49" s="1"/>
      <c r="I49" s="1"/>
      <c r="K49" s="1"/>
      <c r="L49" s="1"/>
      <c r="M49" s="1"/>
      <c r="N49" s="1"/>
      <c r="O49" s="1"/>
      <c r="P49" s="1"/>
      <c r="Q49" s="1"/>
      <c r="R49">
        <f>SUM(R41:R42)</f>
        <v>210000</v>
      </c>
    </row>
    <row r="50" spans="4:18" x14ac:dyDescent="0.2">
      <c r="D50" s="1"/>
      <c r="E50" s="1"/>
      <c r="F50" s="1"/>
      <c r="G50" s="1"/>
      <c r="H50" s="1"/>
      <c r="I50" s="1"/>
      <c r="K50" s="1"/>
      <c r="L50" s="1"/>
      <c r="M50" s="1"/>
      <c r="N50" s="1"/>
      <c r="O50" s="1"/>
      <c r="P50" s="1"/>
      <c r="Q50" s="1"/>
    </row>
    <row r="51" spans="4:18" x14ac:dyDescent="0.2">
      <c r="D51" s="1"/>
      <c r="E51" s="1"/>
      <c r="F51" s="1"/>
      <c r="G51" s="1"/>
      <c r="H51" s="1"/>
      <c r="I51" s="1"/>
      <c r="K51" s="1"/>
      <c r="L51" s="1"/>
      <c r="M51" s="1"/>
      <c r="N51" s="1"/>
      <c r="O51" s="1"/>
      <c r="P51" s="3" t="s">
        <v>89</v>
      </c>
      <c r="Q51" s="3"/>
      <c r="R51">
        <f>J36-R49</f>
        <v>-247000</v>
      </c>
    </row>
    <row r="52" spans="4:18" x14ac:dyDescent="0.2">
      <c r="D52" s="1"/>
      <c r="E52" s="1"/>
      <c r="F52" s="1"/>
      <c r="G52" s="1"/>
      <c r="H52" s="1"/>
      <c r="I52" s="1"/>
      <c r="K52" s="1"/>
      <c r="L52" s="1"/>
      <c r="M52" s="1"/>
      <c r="N52" s="1"/>
      <c r="O52" s="1"/>
      <c r="P52" s="1"/>
      <c r="Q52" s="1"/>
    </row>
    <row r="53" spans="4:18" x14ac:dyDescent="0.2">
      <c r="D53" s="1"/>
      <c r="E53" s="1"/>
      <c r="F53" s="1"/>
      <c r="G53" s="1"/>
      <c r="H53" s="1"/>
      <c r="I53" s="1"/>
      <c r="K53" s="1"/>
      <c r="L53" s="1"/>
      <c r="M53" s="1"/>
      <c r="N53" s="1"/>
      <c r="O53" s="1"/>
      <c r="P53" s="1"/>
      <c r="Q53" s="1"/>
    </row>
    <row r="54" spans="4:18" x14ac:dyDescent="0.2">
      <c r="D54" s="1"/>
      <c r="E54" s="1"/>
      <c r="F54" s="1"/>
      <c r="G54" s="1"/>
      <c r="H54" s="1"/>
      <c r="I54" s="1"/>
      <c r="K54" s="1" t="s">
        <v>83</v>
      </c>
      <c r="L54" s="1"/>
      <c r="M54" s="1"/>
      <c r="N54" s="1"/>
      <c r="O54" s="1"/>
      <c r="P54" s="1"/>
      <c r="Q54" s="1"/>
    </row>
  </sheetData>
  <mergeCells count="457">
    <mergeCell ref="A4:B4"/>
    <mergeCell ref="A5:B5"/>
    <mergeCell ref="A6:B6"/>
    <mergeCell ref="A7:B7"/>
    <mergeCell ref="A8:B8"/>
    <mergeCell ref="F4:G4"/>
    <mergeCell ref="H4:I4"/>
    <mergeCell ref="J4:K4"/>
    <mergeCell ref="A17:B17"/>
    <mergeCell ref="C17:E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A33:B33"/>
    <mergeCell ref="A34:B34"/>
    <mergeCell ref="A35:B35"/>
    <mergeCell ref="A36:B36"/>
    <mergeCell ref="A37:B37"/>
    <mergeCell ref="C4:E4"/>
    <mergeCell ref="C5:E5"/>
    <mergeCell ref="C6:E6"/>
    <mergeCell ref="C7:E7"/>
    <mergeCell ref="C8:E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C18:E18"/>
    <mergeCell ref="C19:E19"/>
    <mergeCell ref="C20:E20"/>
    <mergeCell ref="C9:E9"/>
    <mergeCell ref="C10:E10"/>
    <mergeCell ref="C11:E11"/>
    <mergeCell ref="C12:E12"/>
    <mergeCell ref="C13:E13"/>
    <mergeCell ref="C14:E14"/>
    <mergeCell ref="C33:E33"/>
    <mergeCell ref="C34:E34"/>
    <mergeCell ref="C35:E35"/>
    <mergeCell ref="C36:E36"/>
    <mergeCell ref="C37:E37"/>
    <mergeCell ref="F5:G5"/>
    <mergeCell ref="F6:G6"/>
    <mergeCell ref="F7:G7"/>
    <mergeCell ref="F8:G8"/>
    <mergeCell ref="F9:G9"/>
    <mergeCell ref="C27:E27"/>
    <mergeCell ref="C28:E28"/>
    <mergeCell ref="C29:E29"/>
    <mergeCell ref="C30:E30"/>
    <mergeCell ref="C31:E31"/>
    <mergeCell ref="C32:E32"/>
    <mergeCell ref="C21:E21"/>
    <mergeCell ref="C22:E22"/>
    <mergeCell ref="C23:E23"/>
    <mergeCell ref="C24:E24"/>
    <mergeCell ref="C25:E25"/>
    <mergeCell ref="C26:E26"/>
    <mergeCell ref="C15:E15"/>
    <mergeCell ref="C16:E16"/>
    <mergeCell ref="F18:G18"/>
    <mergeCell ref="F19:G19"/>
    <mergeCell ref="F20:G20"/>
    <mergeCell ref="F21:G21"/>
    <mergeCell ref="F10:G10"/>
    <mergeCell ref="F11:G11"/>
    <mergeCell ref="F12:G12"/>
    <mergeCell ref="F13:G13"/>
    <mergeCell ref="F14:G14"/>
    <mergeCell ref="F15:G15"/>
    <mergeCell ref="F34:G34"/>
    <mergeCell ref="F35:G35"/>
    <mergeCell ref="F36:G36"/>
    <mergeCell ref="F37:G37"/>
    <mergeCell ref="H5:I5"/>
    <mergeCell ref="H6:I6"/>
    <mergeCell ref="H7:I7"/>
    <mergeCell ref="H8:I8"/>
    <mergeCell ref="H9:I9"/>
    <mergeCell ref="H10:I10"/>
    <mergeCell ref="F28:G28"/>
    <mergeCell ref="F29:G29"/>
    <mergeCell ref="F30:G30"/>
    <mergeCell ref="F31:G31"/>
    <mergeCell ref="F32:G32"/>
    <mergeCell ref="F33:G33"/>
    <mergeCell ref="F22:G22"/>
    <mergeCell ref="F23:G23"/>
    <mergeCell ref="F24:G24"/>
    <mergeCell ref="F25:G25"/>
    <mergeCell ref="F26:G26"/>
    <mergeCell ref="F27:G27"/>
    <mergeCell ref="F16:G16"/>
    <mergeCell ref="F17:G17"/>
    <mergeCell ref="H19:I19"/>
    <mergeCell ref="H20:I20"/>
    <mergeCell ref="H21:I21"/>
    <mergeCell ref="H22:I22"/>
    <mergeCell ref="H11:I11"/>
    <mergeCell ref="H12:I12"/>
    <mergeCell ref="H13:I13"/>
    <mergeCell ref="H14:I14"/>
    <mergeCell ref="H15:I15"/>
    <mergeCell ref="H16:I16"/>
    <mergeCell ref="H35:I35"/>
    <mergeCell ref="H36:I36"/>
    <mergeCell ref="H37:I37"/>
    <mergeCell ref="J5:K5"/>
    <mergeCell ref="J6:K6"/>
    <mergeCell ref="J7:K7"/>
    <mergeCell ref="J8:K8"/>
    <mergeCell ref="J9:K9"/>
    <mergeCell ref="J10:K10"/>
    <mergeCell ref="J11:K11"/>
    <mergeCell ref="H29:I29"/>
    <mergeCell ref="H30:I30"/>
    <mergeCell ref="H31:I31"/>
    <mergeCell ref="H32:I32"/>
    <mergeCell ref="H33:I33"/>
    <mergeCell ref="H34:I34"/>
    <mergeCell ref="H23:I23"/>
    <mergeCell ref="H24:I24"/>
    <mergeCell ref="H25:I25"/>
    <mergeCell ref="H26:I26"/>
    <mergeCell ref="H27:I27"/>
    <mergeCell ref="H28:I28"/>
    <mergeCell ref="H17:I17"/>
    <mergeCell ref="H18:I18"/>
    <mergeCell ref="J20:K20"/>
    <mergeCell ref="J21:K21"/>
    <mergeCell ref="J22:K22"/>
    <mergeCell ref="J23:K23"/>
    <mergeCell ref="J12:K12"/>
    <mergeCell ref="J13:K13"/>
    <mergeCell ref="J14:K14"/>
    <mergeCell ref="J15:K15"/>
    <mergeCell ref="J16:K16"/>
    <mergeCell ref="J17:K17"/>
    <mergeCell ref="J36:K36"/>
    <mergeCell ref="J37:K37"/>
    <mergeCell ref="L4:O4"/>
    <mergeCell ref="L5:O5"/>
    <mergeCell ref="L6:O6"/>
    <mergeCell ref="L7:O7"/>
    <mergeCell ref="L8:O8"/>
    <mergeCell ref="L9:O9"/>
    <mergeCell ref="L10:O10"/>
    <mergeCell ref="L11:O11"/>
    <mergeCell ref="J30:K30"/>
    <mergeCell ref="J31:K31"/>
    <mergeCell ref="J32:K32"/>
    <mergeCell ref="J33:K33"/>
    <mergeCell ref="J34:K34"/>
    <mergeCell ref="J35:K35"/>
    <mergeCell ref="J24:K24"/>
    <mergeCell ref="J25:K25"/>
    <mergeCell ref="J26:K26"/>
    <mergeCell ref="J27:K27"/>
    <mergeCell ref="J28:K28"/>
    <mergeCell ref="J29:K29"/>
    <mergeCell ref="J18:K18"/>
    <mergeCell ref="J19:K19"/>
    <mergeCell ref="S4:U4"/>
    <mergeCell ref="P5:R5"/>
    <mergeCell ref="P6:R6"/>
    <mergeCell ref="P7:R7"/>
    <mergeCell ref="P8:R8"/>
    <mergeCell ref="P9:R9"/>
    <mergeCell ref="P10:R10"/>
    <mergeCell ref="P11:R11"/>
    <mergeCell ref="L30:O30"/>
    <mergeCell ref="L24:O24"/>
    <mergeCell ref="L25:O25"/>
    <mergeCell ref="L26:O26"/>
    <mergeCell ref="L27:O27"/>
    <mergeCell ref="L28:O28"/>
    <mergeCell ref="L29:O29"/>
    <mergeCell ref="L18:O18"/>
    <mergeCell ref="L19:O19"/>
    <mergeCell ref="L20:O20"/>
    <mergeCell ref="L21:O21"/>
    <mergeCell ref="L22:O22"/>
    <mergeCell ref="L23:O23"/>
    <mergeCell ref="L12:O12"/>
    <mergeCell ref="L13:O13"/>
    <mergeCell ref="L14:O14"/>
    <mergeCell ref="P12:R12"/>
    <mergeCell ref="P13:R13"/>
    <mergeCell ref="P14:R14"/>
    <mergeCell ref="P15:R15"/>
    <mergeCell ref="P16:R16"/>
    <mergeCell ref="L36:O36"/>
    <mergeCell ref="L37:O37"/>
    <mergeCell ref="L31:O31"/>
    <mergeCell ref="L32:O32"/>
    <mergeCell ref="L33:O33"/>
    <mergeCell ref="L34:O34"/>
    <mergeCell ref="L35:O35"/>
    <mergeCell ref="L15:O15"/>
    <mergeCell ref="L16:O16"/>
    <mergeCell ref="L17:O17"/>
    <mergeCell ref="P36:R36"/>
    <mergeCell ref="P37:R37"/>
    <mergeCell ref="P32:R32"/>
    <mergeCell ref="P33:R33"/>
    <mergeCell ref="P34:R34"/>
    <mergeCell ref="P35:R35"/>
    <mergeCell ref="P4:R4"/>
    <mergeCell ref="S5:U5"/>
    <mergeCell ref="S6:U6"/>
    <mergeCell ref="S7:U7"/>
    <mergeCell ref="S8:U8"/>
    <mergeCell ref="S9:U9"/>
    <mergeCell ref="S10:U10"/>
    <mergeCell ref="P30:R30"/>
    <mergeCell ref="P31:R31"/>
    <mergeCell ref="P24:R24"/>
    <mergeCell ref="P25:R25"/>
    <mergeCell ref="P26:R26"/>
    <mergeCell ref="P27:R27"/>
    <mergeCell ref="P28:R28"/>
    <mergeCell ref="P29:R29"/>
    <mergeCell ref="P17:R17"/>
    <mergeCell ref="P19:R19"/>
    <mergeCell ref="P20:R20"/>
    <mergeCell ref="S19:U19"/>
    <mergeCell ref="S20:U20"/>
    <mergeCell ref="S21:U21"/>
    <mergeCell ref="S22:U22"/>
    <mergeCell ref="S11:U11"/>
    <mergeCell ref="S12:U12"/>
    <mergeCell ref="S13:U13"/>
    <mergeCell ref="S14:U14"/>
    <mergeCell ref="S15:U15"/>
    <mergeCell ref="S16:U16"/>
    <mergeCell ref="S35:U35"/>
    <mergeCell ref="S36:U36"/>
    <mergeCell ref="S37:U37"/>
    <mergeCell ref="P18:R18"/>
    <mergeCell ref="P21:R21"/>
    <mergeCell ref="S33:U33"/>
    <mergeCell ref="S34:U34"/>
    <mergeCell ref="P22:R22"/>
    <mergeCell ref="P23:R23"/>
    <mergeCell ref="A1:AC3"/>
    <mergeCell ref="W4:X4"/>
    <mergeCell ref="Y4:Z4"/>
    <mergeCell ref="W5:X5"/>
    <mergeCell ref="W6:X6"/>
    <mergeCell ref="S29:U29"/>
    <mergeCell ref="S30:U30"/>
    <mergeCell ref="S31:U31"/>
    <mergeCell ref="S32:U32"/>
    <mergeCell ref="S23:U23"/>
    <mergeCell ref="S24:U24"/>
    <mergeCell ref="S25:U25"/>
    <mergeCell ref="S26:U26"/>
    <mergeCell ref="S27:U27"/>
    <mergeCell ref="S28:U28"/>
    <mergeCell ref="S17:U17"/>
    <mergeCell ref="S18:U18"/>
    <mergeCell ref="Y5:Z5"/>
    <mergeCell ref="Y6:Z6"/>
    <mergeCell ref="Y7:Z7"/>
    <mergeCell ref="Y8:Z8"/>
    <mergeCell ref="Y9:Z9"/>
    <mergeCell ref="W13:X13"/>
    <mergeCell ref="W14:X14"/>
    <mergeCell ref="W15:X15"/>
    <mergeCell ref="W16:X16"/>
    <mergeCell ref="W7:X7"/>
    <mergeCell ref="W8:X8"/>
    <mergeCell ref="W9:X9"/>
    <mergeCell ref="W10:X10"/>
    <mergeCell ref="W11:X11"/>
    <mergeCell ref="W12:X12"/>
    <mergeCell ref="Y10:Z10"/>
    <mergeCell ref="Y11:Z11"/>
    <mergeCell ref="Y12:Z12"/>
    <mergeCell ref="Y13:Z13"/>
    <mergeCell ref="Y14:Z14"/>
    <mergeCell ref="Y15:Z15"/>
    <mergeCell ref="W19:X19"/>
    <mergeCell ref="W20:X20"/>
    <mergeCell ref="W21:X21"/>
    <mergeCell ref="W17:X17"/>
    <mergeCell ref="W18:X18"/>
    <mergeCell ref="AA4:AB4"/>
    <mergeCell ref="AC4:AD4"/>
    <mergeCell ref="AA5:AB5"/>
    <mergeCell ref="AA6:AB6"/>
    <mergeCell ref="AA7:AB7"/>
    <mergeCell ref="AA8:AB8"/>
    <mergeCell ref="AA9:AB9"/>
    <mergeCell ref="AA10:AB10"/>
    <mergeCell ref="AA11:AB11"/>
    <mergeCell ref="AC5:AD5"/>
    <mergeCell ref="AC6:AD6"/>
    <mergeCell ref="AC7:AD7"/>
    <mergeCell ref="AC8:AD8"/>
    <mergeCell ref="AC9:AD9"/>
    <mergeCell ref="AA12:AB12"/>
    <mergeCell ref="AA13:AB13"/>
    <mergeCell ref="AA14:AB14"/>
    <mergeCell ref="AA15:AB15"/>
    <mergeCell ref="AC10:AD10"/>
    <mergeCell ref="AC11:AD11"/>
    <mergeCell ref="AC12:AD12"/>
    <mergeCell ref="AC13:AD13"/>
    <mergeCell ref="AC14:AD14"/>
    <mergeCell ref="AC15:AD15"/>
    <mergeCell ref="AA18:AB18"/>
    <mergeCell ref="AA19:AB19"/>
    <mergeCell ref="AA20:AB20"/>
    <mergeCell ref="AA16:AB16"/>
    <mergeCell ref="AA17:AB17"/>
    <mergeCell ref="AC22:AD22"/>
    <mergeCell ref="Y23:Z23"/>
    <mergeCell ref="AA23:AB23"/>
    <mergeCell ref="AC23:AD23"/>
    <mergeCell ref="W24:X24"/>
    <mergeCell ref="W25:X25"/>
    <mergeCell ref="AC16:AD16"/>
    <mergeCell ref="AC17:AD17"/>
    <mergeCell ref="AC18:AD18"/>
    <mergeCell ref="AC19:AD19"/>
    <mergeCell ref="AC20:AD20"/>
    <mergeCell ref="AC21:AD21"/>
    <mergeCell ref="AA21:AB21"/>
    <mergeCell ref="AA22:AB22"/>
    <mergeCell ref="Y22:Z22"/>
    <mergeCell ref="Y16:Z16"/>
    <mergeCell ref="Y17:Z17"/>
    <mergeCell ref="Y18:Z18"/>
    <mergeCell ref="Y19:Z19"/>
    <mergeCell ref="Y20:Z20"/>
    <mergeCell ref="Y21:Z21"/>
    <mergeCell ref="W22:X22"/>
    <mergeCell ref="W23:X23"/>
    <mergeCell ref="AC25:AD25"/>
    <mergeCell ref="W32:X32"/>
    <mergeCell ref="W33:X33"/>
    <mergeCell ref="W34:X34"/>
    <mergeCell ref="W35:X35"/>
    <mergeCell ref="Y24:Z24"/>
    <mergeCell ref="Y25:Z25"/>
    <mergeCell ref="Y26:Z26"/>
    <mergeCell ref="Y27:Z27"/>
    <mergeCell ref="Y28:Z28"/>
    <mergeCell ref="W26:X26"/>
    <mergeCell ref="W27:X27"/>
    <mergeCell ref="W28:X28"/>
    <mergeCell ref="W29:X29"/>
    <mergeCell ref="W30:X30"/>
    <mergeCell ref="W31:X31"/>
    <mergeCell ref="AC26:AD26"/>
    <mergeCell ref="AC27:AD27"/>
    <mergeCell ref="AC28:AD28"/>
    <mergeCell ref="Y35:Z35"/>
    <mergeCell ref="AA24:AB24"/>
    <mergeCell ref="AA25:AB25"/>
    <mergeCell ref="AA26:AB26"/>
    <mergeCell ref="AA27:AB27"/>
    <mergeCell ref="AA28:AB28"/>
    <mergeCell ref="AA29:AB29"/>
    <mergeCell ref="AA30:AB30"/>
    <mergeCell ref="AA31:AB31"/>
    <mergeCell ref="Y29:Z29"/>
    <mergeCell ref="Y30:Z30"/>
    <mergeCell ref="Y31:Z31"/>
    <mergeCell ref="Y32:Z32"/>
    <mergeCell ref="Y33:Z33"/>
    <mergeCell ref="Y34:Z34"/>
    <mergeCell ref="D46:I46"/>
    <mergeCell ref="D47:I47"/>
    <mergeCell ref="D48:I48"/>
    <mergeCell ref="D49:I49"/>
    <mergeCell ref="D39:I39"/>
    <mergeCell ref="AC35:AD35"/>
    <mergeCell ref="AC36:AD36"/>
    <mergeCell ref="W36:Z36"/>
    <mergeCell ref="AF3:AH3"/>
    <mergeCell ref="AH4:AI4"/>
    <mergeCell ref="AF5:AG5"/>
    <mergeCell ref="AH5:AI5"/>
    <mergeCell ref="AC29:AD29"/>
    <mergeCell ref="AC30:AD30"/>
    <mergeCell ref="AC31:AD31"/>
    <mergeCell ref="AC32:AD32"/>
    <mergeCell ref="AC33:AD33"/>
    <mergeCell ref="AC34:AD34"/>
    <mergeCell ref="AA32:AB32"/>
    <mergeCell ref="AA33:AB33"/>
    <mergeCell ref="AA34:AB34"/>
    <mergeCell ref="AA35:AB35"/>
    <mergeCell ref="AA36:AB36"/>
    <mergeCell ref="AC24:AD24"/>
    <mergeCell ref="K54:O54"/>
    <mergeCell ref="J39:O39"/>
    <mergeCell ref="P39:Q39"/>
    <mergeCell ref="P40:Q40"/>
    <mergeCell ref="P41:Q41"/>
    <mergeCell ref="P42:Q42"/>
    <mergeCell ref="P43:Q43"/>
    <mergeCell ref="P44:Q44"/>
    <mergeCell ref="K46:O46"/>
    <mergeCell ref="K47:O47"/>
    <mergeCell ref="K48:O48"/>
    <mergeCell ref="K49:O49"/>
    <mergeCell ref="K50:O50"/>
    <mergeCell ref="K51:O51"/>
    <mergeCell ref="K40:O40"/>
    <mergeCell ref="K41:O41"/>
    <mergeCell ref="K42:O42"/>
    <mergeCell ref="K43:O43"/>
    <mergeCell ref="K44:O44"/>
    <mergeCell ref="K45:O45"/>
    <mergeCell ref="D50:I50"/>
    <mergeCell ref="D51:I51"/>
    <mergeCell ref="D52:I52"/>
    <mergeCell ref="D53:I53"/>
    <mergeCell ref="D54:I54"/>
    <mergeCell ref="AJ4:AL5"/>
    <mergeCell ref="P51:Q51"/>
    <mergeCell ref="P52:Q52"/>
    <mergeCell ref="P53:Q53"/>
    <mergeCell ref="P54:Q54"/>
    <mergeCell ref="D40:I40"/>
    <mergeCell ref="D41:I41"/>
    <mergeCell ref="D42:I42"/>
    <mergeCell ref="D43:I43"/>
    <mergeCell ref="D44:I44"/>
    <mergeCell ref="D45:I45"/>
    <mergeCell ref="P45:Q45"/>
    <mergeCell ref="P46:Q46"/>
    <mergeCell ref="P47:Q47"/>
    <mergeCell ref="P48:Q48"/>
    <mergeCell ref="P49:Q49"/>
    <mergeCell ref="P50:Q50"/>
    <mergeCell ref="K52:O52"/>
    <mergeCell ref="K53:O53"/>
  </mergeCells>
  <conditionalFormatting sqref="J36:K36">
    <cfRule type="colorScale" priority="9">
      <colorScale>
        <cfvo type="num" val="0"/>
        <cfvo type="max"/>
        <color rgb="FFFF7128"/>
        <color theme="9"/>
      </colorScale>
    </cfRule>
    <cfRule type="colorScale" priority="13">
      <colorScale>
        <cfvo type="formula" val="$J$361&lt;0"/>
        <cfvo type="max"/>
        <color rgb="FFFF7128"/>
        <color theme="9"/>
      </colorScale>
    </cfRule>
    <cfRule type="colorScale" priority="14">
      <colorScale>
        <cfvo type="num" val="0"/>
        <cfvo type="max"/>
        <color theme="9"/>
        <color rgb="FFFFEF9C"/>
      </colorScale>
    </cfRule>
  </conditionalFormatting>
  <conditionalFormatting sqref="R49">
    <cfRule type="colorScale" priority="7">
      <colorScale>
        <cfvo type="formula" val=" $A$37 &lt; $R$49"/>
        <cfvo type="max"/>
        <color rgb="FFFF7128"/>
        <color rgb="FFFFEF9C"/>
      </colorScale>
    </cfRule>
    <cfRule type="colorScale" priority="8">
      <colorScale>
        <cfvo type="formula" val=" $A$37 &lt; $R$49"/>
        <cfvo type="max"/>
        <color rgb="FFFF7128"/>
        <color rgb="FFFFEF9C"/>
      </colorScale>
    </cfRule>
  </conditionalFormatting>
  <conditionalFormatting sqref="S49">
    <cfRule type="colorScale" priority="1">
      <colorScale>
        <cfvo type="min"/>
        <cfvo type="formula" val="$A$37 &gt;= $R$49"/>
        <color rgb="FFFF7128"/>
        <color rgb="FFFFEF9C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DB980-4D2D-5644-8DC9-4F72C6A94894}">
  <dimension ref="A1:AL54"/>
  <sheetViews>
    <sheetView workbookViewId="0">
      <selection activeCell="AF5" sqref="AF5:AG5"/>
    </sheetView>
  </sheetViews>
  <sheetFormatPr baseColWidth="10" defaultRowHeight="16" x14ac:dyDescent="0.2"/>
  <cols>
    <col min="24" max="24" width="15" customWidth="1"/>
  </cols>
  <sheetData>
    <row r="1" spans="1:38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38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38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F3" s="1" t="s">
        <v>74</v>
      </c>
      <c r="AG3" s="1"/>
      <c r="AH3" s="1"/>
    </row>
    <row r="4" spans="1:38" x14ac:dyDescent="0.2">
      <c r="A4" s="1" t="s">
        <v>1</v>
      </c>
      <c r="B4" s="1"/>
      <c r="C4" s="5" t="s">
        <v>2</v>
      </c>
      <c r="D4" s="5"/>
      <c r="E4" s="5"/>
      <c r="F4" s="1" t="s">
        <v>3</v>
      </c>
      <c r="G4" s="1"/>
      <c r="H4" s="1" t="s">
        <v>14</v>
      </c>
      <c r="I4" s="1"/>
      <c r="J4" s="1" t="s">
        <v>10</v>
      </c>
      <c r="K4" s="1"/>
      <c r="L4" s="1" t="s">
        <v>5</v>
      </c>
      <c r="M4" s="1"/>
      <c r="N4" s="1"/>
      <c r="O4" s="1"/>
      <c r="P4" s="1" t="s">
        <v>17</v>
      </c>
      <c r="Q4" s="1"/>
      <c r="R4" s="1"/>
      <c r="S4" s="1" t="s">
        <v>16</v>
      </c>
      <c r="T4" s="1"/>
      <c r="U4" s="1"/>
      <c r="W4" s="1" t="s">
        <v>63</v>
      </c>
      <c r="X4" s="1"/>
      <c r="Y4" s="1" t="s">
        <v>4</v>
      </c>
      <c r="Z4" s="1"/>
      <c r="AA4" s="1" t="s">
        <v>64</v>
      </c>
      <c r="AB4" s="1"/>
      <c r="AC4" s="1" t="s">
        <v>4</v>
      </c>
      <c r="AD4" s="1"/>
      <c r="AF4" t="s">
        <v>75</v>
      </c>
      <c r="AH4" s="1" t="s">
        <v>76</v>
      </c>
      <c r="AI4" s="1"/>
      <c r="AJ4" s="2"/>
      <c r="AK4" s="2"/>
      <c r="AL4" s="2"/>
    </row>
    <row r="5" spans="1:38" x14ac:dyDescent="0.2">
      <c r="A5" s="6" t="s">
        <v>46</v>
      </c>
      <c r="B5" s="1"/>
      <c r="C5" s="5" t="s">
        <v>6</v>
      </c>
      <c r="D5" s="5"/>
      <c r="E5" s="5"/>
      <c r="F5" s="1" t="s">
        <v>7</v>
      </c>
      <c r="G5" s="1"/>
      <c r="H5" s="1" t="s">
        <v>8</v>
      </c>
      <c r="I5" s="1"/>
      <c r="J5" s="1">
        <v>65000</v>
      </c>
      <c r="K5" s="1"/>
      <c r="L5" s="1" t="s">
        <v>9</v>
      </c>
      <c r="M5" s="1"/>
      <c r="N5" s="1"/>
      <c r="O5" s="1"/>
      <c r="P5" s="1">
        <v>5900000</v>
      </c>
      <c r="Q5" s="1"/>
      <c r="R5" s="1"/>
      <c r="S5" s="1" t="s">
        <v>18</v>
      </c>
      <c r="T5" s="1"/>
      <c r="U5" s="1"/>
      <c r="W5" s="1" t="s">
        <v>65</v>
      </c>
      <c r="X5" s="1"/>
      <c r="Y5" s="1">
        <v>58000</v>
      </c>
      <c r="Z5" s="1"/>
      <c r="AA5" s="1" t="s">
        <v>66</v>
      </c>
      <c r="AB5" s="1"/>
      <c r="AC5" s="1"/>
      <c r="AD5" s="1"/>
      <c r="AF5" s="1"/>
      <c r="AG5" s="1"/>
      <c r="AH5" s="1">
        <f>AF5*85</f>
        <v>0</v>
      </c>
      <c r="AI5" s="1"/>
      <c r="AJ5" s="2"/>
      <c r="AK5" s="2"/>
      <c r="AL5" s="2"/>
    </row>
    <row r="6" spans="1:38" x14ac:dyDescent="0.2">
      <c r="A6" s="1"/>
      <c r="B6" s="1"/>
      <c r="C6" s="5" t="s">
        <v>11</v>
      </c>
      <c r="D6" s="5"/>
      <c r="E6" s="5"/>
      <c r="F6" s="1" t="s">
        <v>12</v>
      </c>
      <c r="G6" s="1"/>
      <c r="H6" s="1" t="s">
        <v>13</v>
      </c>
      <c r="I6" s="1"/>
      <c r="J6" s="1"/>
      <c r="K6" s="1"/>
      <c r="L6" s="7" t="s">
        <v>90</v>
      </c>
      <c r="M6" s="7"/>
      <c r="N6" s="7"/>
      <c r="O6" s="7"/>
      <c r="P6" s="1">
        <v>150000</v>
      </c>
      <c r="Q6" s="1"/>
      <c r="R6" s="1"/>
      <c r="S6" s="1" t="s">
        <v>19</v>
      </c>
      <c r="T6" s="1"/>
      <c r="U6" s="1"/>
      <c r="W6" s="1" t="s">
        <v>68</v>
      </c>
      <c r="X6" s="1"/>
      <c r="Y6" s="1">
        <v>47000</v>
      </c>
      <c r="Z6" s="1"/>
      <c r="AA6" s="1" t="s">
        <v>67</v>
      </c>
      <c r="AB6" s="1"/>
      <c r="AC6" s="1"/>
      <c r="AD6" s="1"/>
    </row>
    <row r="7" spans="1:38" x14ac:dyDescent="0.2">
      <c r="A7" s="1"/>
      <c r="B7" s="1"/>
      <c r="C7" s="5" t="s">
        <v>20</v>
      </c>
      <c r="D7" s="5"/>
      <c r="E7" s="5"/>
      <c r="F7" s="1" t="s">
        <v>12</v>
      </c>
      <c r="G7" s="1"/>
      <c r="H7" s="1" t="s">
        <v>21</v>
      </c>
      <c r="I7" s="1"/>
      <c r="J7" s="1">
        <v>13000</v>
      </c>
      <c r="K7" s="1"/>
      <c r="L7" s="1" t="s">
        <v>15</v>
      </c>
      <c r="M7" s="1"/>
      <c r="N7" s="1"/>
      <c r="O7" s="1"/>
      <c r="P7" s="1">
        <v>160000</v>
      </c>
      <c r="Q7" s="1"/>
      <c r="R7" s="1"/>
      <c r="S7" s="1" t="s">
        <v>22</v>
      </c>
      <c r="T7" s="1"/>
      <c r="U7" s="1"/>
      <c r="W7" s="1" t="s">
        <v>88</v>
      </c>
      <c r="X7" s="1"/>
      <c r="Y7" s="1">
        <f>MAX(0, 'Aug2025'!R51)</f>
        <v>0</v>
      </c>
      <c r="Z7" s="1"/>
      <c r="AA7" s="1"/>
      <c r="AB7" s="1"/>
      <c r="AC7" s="1"/>
      <c r="AD7" s="1"/>
    </row>
    <row r="8" spans="1:38" x14ac:dyDescent="0.2">
      <c r="A8" s="1"/>
      <c r="B8" s="1"/>
      <c r="C8" s="5" t="s">
        <v>85</v>
      </c>
      <c r="D8" s="5"/>
      <c r="E8" s="5"/>
      <c r="F8" s="1" t="s">
        <v>7</v>
      </c>
      <c r="G8" s="1"/>
      <c r="H8" s="1" t="s">
        <v>23</v>
      </c>
      <c r="I8" s="1"/>
      <c r="J8" s="1">
        <v>13000</v>
      </c>
      <c r="K8" s="1"/>
      <c r="L8" s="1" t="s">
        <v>24</v>
      </c>
      <c r="M8" s="1"/>
      <c r="N8" s="1"/>
      <c r="O8" s="1"/>
      <c r="P8" s="1">
        <v>345000</v>
      </c>
      <c r="Q8" s="1"/>
      <c r="R8" s="1"/>
      <c r="S8" s="1" t="s">
        <v>18</v>
      </c>
      <c r="T8" s="1"/>
      <c r="U8" s="1"/>
      <c r="W8" s="1"/>
      <c r="X8" s="1"/>
      <c r="Y8" s="1"/>
      <c r="Z8" s="1"/>
      <c r="AA8" s="1"/>
      <c r="AB8" s="1"/>
      <c r="AC8" s="1"/>
      <c r="AD8" s="1"/>
    </row>
    <row r="9" spans="1:38" x14ac:dyDescent="0.2">
      <c r="A9" s="1"/>
      <c r="B9" s="1"/>
      <c r="C9" s="5" t="s">
        <v>28</v>
      </c>
      <c r="D9" s="5"/>
      <c r="E9" s="5"/>
      <c r="F9" s="1" t="s">
        <v>7</v>
      </c>
      <c r="G9" s="1"/>
      <c r="H9" s="1" t="s">
        <v>25</v>
      </c>
      <c r="I9" s="1"/>
      <c r="J9" s="1">
        <v>15000</v>
      </c>
      <c r="K9" s="1"/>
      <c r="L9" s="1" t="s">
        <v>26</v>
      </c>
      <c r="M9" s="1"/>
      <c r="N9" s="1"/>
      <c r="O9" s="1"/>
      <c r="P9" s="1"/>
      <c r="Q9" s="1"/>
      <c r="R9" s="1"/>
      <c r="S9" s="1" t="s">
        <v>27</v>
      </c>
      <c r="T9" s="1"/>
      <c r="U9" s="1"/>
      <c r="W9" s="1"/>
      <c r="X9" s="1"/>
      <c r="Y9" s="1"/>
      <c r="Z9" s="1"/>
      <c r="AA9" s="1"/>
      <c r="AB9" s="1"/>
      <c r="AC9" s="1"/>
      <c r="AD9" s="1"/>
    </row>
    <row r="10" spans="1:38" x14ac:dyDescent="0.2">
      <c r="A10" s="1"/>
      <c r="B10" s="1"/>
      <c r="C10" s="5" t="s">
        <v>29</v>
      </c>
      <c r="D10" s="5"/>
      <c r="E10" s="5"/>
      <c r="F10" s="1" t="s">
        <v>7</v>
      </c>
      <c r="G10" s="1"/>
      <c r="H10" s="1" t="s">
        <v>30</v>
      </c>
      <c r="I10" s="1"/>
      <c r="J10" s="1">
        <v>25000</v>
      </c>
      <c r="K10" s="1"/>
      <c r="L10" s="1" t="s">
        <v>31</v>
      </c>
      <c r="M10" s="1"/>
      <c r="N10" s="1"/>
      <c r="O10" s="1"/>
      <c r="P10" s="1"/>
      <c r="Q10" s="1"/>
      <c r="R10" s="1"/>
      <c r="S10" s="1" t="s">
        <v>32</v>
      </c>
      <c r="T10" s="1"/>
      <c r="U10" s="1"/>
      <c r="W10" s="1" t="s">
        <v>73</v>
      </c>
      <c r="X10" s="1"/>
      <c r="Y10" s="1">
        <f>AH5</f>
        <v>0</v>
      </c>
      <c r="Z10" s="1"/>
      <c r="AA10" s="1"/>
      <c r="AB10" s="1"/>
      <c r="AC10" s="1"/>
      <c r="AD10" s="1"/>
    </row>
    <row r="11" spans="1:38" x14ac:dyDescent="0.2">
      <c r="A11" s="1"/>
      <c r="B11" s="1"/>
      <c r="C11" s="5" t="s">
        <v>33</v>
      </c>
      <c r="D11" s="5"/>
      <c r="E11" s="5"/>
      <c r="F11" s="1" t="s">
        <v>7</v>
      </c>
      <c r="G11" s="1"/>
      <c r="H11" s="1" t="s">
        <v>25</v>
      </c>
      <c r="I11" s="1"/>
      <c r="J11" s="1">
        <v>10000</v>
      </c>
      <c r="K11" s="1"/>
      <c r="L11" s="1" t="s">
        <v>24</v>
      </c>
      <c r="M11" s="1"/>
      <c r="N11" s="1"/>
      <c r="O11" s="1"/>
      <c r="P11" s="1"/>
      <c r="Q11" s="1"/>
      <c r="R11" s="1"/>
      <c r="S11" s="1" t="s">
        <v>34</v>
      </c>
      <c r="T11" s="1"/>
      <c r="U11" s="1"/>
      <c r="W11" s="1"/>
      <c r="X11" s="1"/>
      <c r="Y11" s="1"/>
      <c r="Z11" s="1"/>
      <c r="AA11" s="1"/>
      <c r="AB11" s="1"/>
      <c r="AC11" s="1"/>
      <c r="AD11" s="1"/>
    </row>
    <row r="12" spans="1:38" x14ac:dyDescent="0.2">
      <c r="A12" s="1"/>
      <c r="B12" s="1"/>
      <c r="C12" s="5" t="s">
        <v>35</v>
      </c>
      <c r="D12" s="5"/>
      <c r="E12" s="5"/>
      <c r="F12" s="1" t="s">
        <v>7</v>
      </c>
      <c r="G12" s="1"/>
      <c r="H12" s="1" t="s">
        <v>36</v>
      </c>
      <c r="I12" s="1"/>
      <c r="J12" s="1">
        <v>15000</v>
      </c>
      <c r="K12" s="1"/>
      <c r="L12" s="1" t="s">
        <v>37</v>
      </c>
      <c r="M12" s="1"/>
      <c r="N12" s="1"/>
      <c r="O12" s="1"/>
      <c r="P12" s="1">
        <v>90000</v>
      </c>
      <c r="Q12" s="1"/>
      <c r="R12" s="1"/>
      <c r="S12" s="1" t="s">
        <v>38</v>
      </c>
      <c r="T12" s="1"/>
      <c r="U12" s="1"/>
      <c r="W12" s="1"/>
      <c r="X12" s="1"/>
      <c r="Y12" s="1"/>
      <c r="Z12" s="1"/>
      <c r="AA12" s="1"/>
      <c r="AB12" s="1"/>
      <c r="AC12" s="1"/>
      <c r="AD12" s="1"/>
    </row>
    <row r="13" spans="1:38" x14ac:dyDescent="0.2">
      <c r="A13" s="1"/>
      <c r="B13" s="1"/>
      <c r="C13" s="5" t="s">
        <v>39</v>
      </c>
      <c r="D13" s="5"/>
      <c r="E13" s="5"/>
      <c r="F13" s="1" t="s">
        <v>7</v>
      </c>
      <c r="G13" s="1"/>
      <c r="H13" s="1" t="s">
        <v>40</v>
      </c>
      <c r="I13" s="1"/>
      <c r="J13" s="1">
        <v>10000</v>
      </c>
      <c r="K13" s="1"/>
      <c r="L13" s="1" t="s">
        <v>41</v>
      </c>
      <c r="M13" s="1"/>
      <c r="N13" s="1"/>
      <c r="O13" s="1"/>
      <c r="P13" s="1"/>
      <c r="Q13" s="1"/>
      <c r="R13" s="1"/>
      <c r="S13" s="1" t="s">
        <v>34</v>
      </c>
      <c r="T13" s="1"/>
      <c r="U13" s="1"/>
      <c r="W13" s="1"/>
      <c r="X13" s="1"/>
      <c r="Y13" s="1"/>
      <c r="Z13" s="1"/>
      <c r="AA13" s="1"/>
      <c r="AB13" s="1"/>
      <c r="AC13" s="1"/>
      <c r="AD13" s="1"/>
    </row>
    <row r="14" spans="1:38" x14ac:dyDescent="0.2">
      <c r="A14" s="1"/>
      <c r="B14" s="1"/>
      <c r="C14" s="5" t="s">
        <v>42</v>
      </c>
      <c r="D14" s="5"/>
      <c r="E14" s="5"/>
      <c r="F14" s="1" t="s">
        <v>7</v>
      </c>
      <c r="G14" s="1"/>
      <c r="H14" s="1" t="s">
        <v>44</v>
      </c>
      <c r="I14" s="1"/>
      <c r="J14" s="1">
        <v>10000</v>
      </c>
      <c r="K14" s="1"/>
      <c r="L14" s="1" t="s">
        <v>43</v>
      </c>
      <c r="M14" s="1"/>
      <c r="N14" s="1"/>
      <c r="O14" s="1"/>
      <c r="P14" s="1"/>
      <c r="Q14" s="1"/>
      <c r="R14" s="1"/>
      <c r="S14" s="1" t="s">
        <v>45</v>
      </c>
      <c r="T14" s="1"/>
      <c r="U14" s="1"/>
      <c r="W14" s="1"/>
      <c r="X14" s="1"/>
      <c r="Y14" s="1"/>
      <c r="Z14" s="1"/>
      <c r="AA14" s="1"/>
      <c r="AB14" s="1"/>
      <c r="AC14" s="1"/>
      <c r="AD14" s="1"/>
    </row>
    <row r="15" spans="1:38" x14ac:dyDescent="0.2">
      <c r="A15" s="1" t="s">
        <v>47</v>
      </c>
      <c r="B15" s="1"/>
      <c r="C15" s="5" t="s">
        <v>48</v>
      </c>
      <c r="D15" s="5"/>
      <c r="E15" s="5"/>
      <c r="F15" s="1" t="s">
        <v>7</v>
      </c>
      <c r="G15" s="1"/>
      <c r="H15" s="1" t="s">
        <v>25</v>
      </c>
      <c r="I15" s="1"/>
      <c r="J15" s="1">
        <v>6000</v>
      </c>
      <c r="K15" s="1"/>
      <c r="L15" s="1" t="s">
        <v>49</v>
      </c>
      <c r="M15" s="1"/>
      <c r="N15" s="1"/>
      <c r="O15" s="1"/>
      <c r="P15" s="1"/>
      <c r="Q15" s="1"/>
      <c r="R15" s="1"/>
      <c r="S15" s="1" t="s">
        <v>34</v>
      </c>
      <c r="T15" s="1"/>
      <c r="U15" s="1"/>
      <c r="W15" s="1"/>
      <c r="X15" s="1"/>
      <c r="Y15" s="1"/>
      <c r="Z15" s="1"/>
      <c r="AA15" s="1"/>
      <c r="AB15" s="1"/>
      <c r="AC15" s="1"/>
      <c r="AD15" s="1"/>
    </row>
    <row r="16" spans="1:38" x14ac:dyDescent="0.2">
      <c r="A16" s="1"/>
      <c r="B16" s="1"/>
      <c r="C16" s="5" t="s">
        <v>50</v>
      </c>
      <c r="D16" s="5"/>
      <c r="E16" s="5"/>
      <c r="F16" s="1" t="s">
        <v>7</v>
      </c>
      <c r="G16" s="1"/>
      <c r="H16" s="1" t="s">
        <v>51</v>
      </c>
      <c r="I16" s="1"/>
      <c r="J16" s="1">
        <v>20000</v>
      </c>
      <c r="K16" s="1"/>
      <c r="L16" s="1" t="s">
        <v>52</v>
      </c>
      <c r="M16" s="1"/>
      <c r="N16" s="1"/>
      <c r="O16" s="1"/>
      <c r="P16" s="1">
        <v>528000</v>
      </c>
      <c r="Q16" s="1"/>
      <c r="R16" s="1"/>
      <c r="S16" s="1" t="s">
        <v>34</v>
      </c>
      <c r="T16" s="1"/>
      <c r="U16" s="1"/>
      <c r="W16" s="1"/>
      <c r="X16" s="1"/>
      <c r="Y16" s="1"/>
      <c r="Z16" s="1"/>
      <c r="AA16" s="1"/>
      <c r="AB16" s="1"/>
      <c r="AC16" s="1"/>
      <c r="AD16" s="1"/>
    </row>
    <row r="17" spans="1:30" x14ac:dyDescent="0.2">
      <c r="A17" s="1"/>
      <c r="B17" s="1"/>
      <c r="C17" s="5" t="s">
        <v>53</v>
      </c>
      <c r="D17" s="5"/>
      <c r="E17" s="5"/>
      <c r="F17" s="1" t="s">
        <v>7</v>
      </c>
      <c r="G17" s="1"/>
      <c r="H17" s="1" t="s">
        <v>54</v>
      </c>
      <c r="I17" s="1"/>
      <c r="J17" s="1">
        <v>25000</v>
      </c>
      <c r="K17" s="1"/>
      <c r="L17" s="1" t="s">
        <v>52</v>
      </c>
      <c r="M17" s="1"/>
      <c r="N17" s="1"/>
      <c r="O17" s="1"/>
      <c r="P17" s="1">
        <v>724000</v>
      </c>
      <c r="Q17" s="1"/>
      <c r="R17" s="1"/>
      <c r="S17" s="1" t="s">
        <v>34</v>
      </c>
      <c r="T17" s="1"/>
      <c r="U17" s="1"/>
      <c r="W17" s="1"/>
      <c r="X17" s="1"/>
      <c r="Y17" s="1"/>
      <c r="Z17" s="1"/>
      <c r="AA17" s="1"/>
      <c r="AB17" s="1"/>
      <c r="AC17" s="1"/>
      <c r="AD17" s="1"/>
    </row>
    <row r="18" spans="1:30" x14ac:dyDescent="0.2">
      <c r="A18" s="1"/>
      <c r="B18" s="1"/>
      <c r="C18" s="5" t="s">
        <v>39</v>
      </c>
      <c r="D18" s="5"/>
      <c r="E18" s="5"/>
      <c r="F18" s="1" t="s">
        <v>7</v>
      </c>
      <c r="G18" s="1"/>
      <c r="H18" s="1" t="s">
        <v>25</v>
      </c>
      <c r="I18" s="1"/>
      <c r="J18" s="1">
        <v>10000</v>
      </c>
      <c r="K18" s="1"/>
      <c r="L18" s="1" t="s">
        <v>41</v>
      </c>
      <c r="M18" s="1"/>
      <c r="N18" s="1"/>
      <c r="O18" s="1"/>
      <c r="P18" s="1"/>
      <c r="Q18" s="1"/>
      <c r="R18" s="1"/>
      <c r="S18" s="1" t="s">
        <v>34</v>
      </c>
      <c r="T18" s="1"/>
      <c r="U18" s="1"/>
      <c r="W18" s="1"/>
      <c r="X18" s="1"/>
      <c r="Y18" s="1"/>
      <c r="Z18" s="1"/>
      <c r="AA18" s="1"/>
      <c r="AB18" s="1"/>
      <c r="AC18" s="1"/>
      <c r="AD18" s="1"/>
    </row>
    <row r="19" spans="1:30" x14ac:dyDescent="0.2">
      <c r="A19" s="1" t="s">
        <v>55</v>
      </c>
      <c r="B19" s="1"/>
      <c r="C19" s="5" t="s">
        <v>56</v>
      </c>
      <c r="D19" s="5"/>
      <c r="E19" s="5"/>
      <c r="F19" s="1" t="s">
        <v>7</v>
      </c>
      <c r="G19" s="1"/>
      <c r="H19" s="1" t="s">
        <v>25</v>
      </c>
      <c r="I19" s="1"/>
      <c r="J19" s="1">
        <v>21000</v>
      </c>
      <c r="K19" s="1"/>
      <c r="L19" s="1" t="s">
        <v>57</v>
      </c>
      <c r="M19" s="1"/>
      <c r="N19" s="1"/>
      <c r="O19" s="1"/>
      <c r="P19" s="1">
        <v>1000000</v>
      </c>
      <c r="Q19" s="1"/>
      <c r="R19" s="1"/>
      <c r="S19" s="1" t="s">
        <v>34</v>
      </c>
      <c r="T19" s="1"/>
      <c r="U19" s="1"/>
      <c r="W19" s="1"/>
      <c r="X19" s="1"/>
      <c r="Y19" s="1"/>
      <c r="Z19" s="1"/>
      <c r="AA19" s="1"/>
      <c r="AB19" s="1"/>
      <c r="AC19" s="1"/>
      <c r="AD19" s="1"/>
    </row>
    <row r="20" spans="1:30" x14ac:dyDescent="0.2">
      <c r="A20" s="1"/>
      <c r="B20" s="1"/>
      <c r="C20" s="5" t="s">
        <v>58</v>
      </c>
      <c r="D20" s="5"/>
      <c r="E20" s="5"/>
      <c r="F20" s="1" t="s">
        <v>7</v>
      </c>
      <c r="G20" s="1"/>
      <c r="H20" s="1" t="s">
        <v>59</v>
      </c>
      <c r="I20" s="1"/>
      <c r="J20" s="1">
        <v>6000</v>
      </c>
      <c r="K20" s="1"/>
      <c r="L20" s="1" t="s">
        <v>57</v>
      </c>
      <c r="M20" s="1"/>
      <c r="N20" s="1"/>
      <c r="O20" s="1"/>
      <c r="P20" s="1">
        <v>1000000</v>
      </c>
      <c r="Q20" s="1"/>
      <c r="R20" s="1"/>
      <c r="S20" s="1" t="s">
        <v>34</v>
      </c>
      <c r="T20" s="1"/>
      <c r="U20" s="1"/>
      <c r="W20" s="1"/>
      <c r="X20" s="1"/>
      <c r="Y20" s="1"/>
      <c r="Z20" s="1"/>
      <c r="AA20" s="1"/>
      <c r="AB20" s="1"/>
      <c r="AC20" s="1"/>
      <c r="AD20" s="1"/>
    </row>
    <row r="21" spans="1:30" x14ac:dyDescent="0.2">
      <c r="A21" s="1"/>
      <c r="B21" s="1"/>
      <c r="C21" s="5" t="s">
        <v>60</v>
      </c>
      <c r="D21" s="5"/>
      <c r="E21" s="5"/>
      <c r="F21" s="1" t="s">
        <v>7</v>
      </c>
      <c r="G21" s="1"/>
      <c r="H21" s="1" t="s">
        <v>25</v>
      </c>
      <c r="I21" s="1"/>
      <c r="J21" s="1">
        <v>3000</v>
      </c>
      <c r="K21" s="1"/>
      <c r="L21" s="1" t="s">
        <v>61</v>
      </c>
      <c r="M21" s="1"/>
      <c r="N21" s="1"/>
      <c r="O21" s="1"/>
      <c r="P21" s="1"/>
      <c r="Q21" s="1"/>
      <c r="R21" s="1"/>
      <c r="S21" s="1" t="s">
        <v>34</v>
      </c>
      <c r="T21" s="1"/>
      <c r="U21" s="1"/>
      <c r="W21" s="1"/>
      <c r="X21" s="1"/>
      <c r="Y21" s="1"/>
      <c r="Z21" s="1"/>
      <c r="AA21" s="1"/>
      <c r="AB21" s="1"/>
      <c r="AC21" s="1"/>
      <c r="AD21" s="1"/>
    </row>
    <row r="22" spans="1:30" x14ac:dyDescent="0.2">
      <c r="A22" s="1"/>
      <c r="B22" s="1"/>
      <c r="C22" s="5" t="s">
        <v>62</v>
      </c>
      <c r="D22" s="5"/>
      <c r="E22" s="5"/>
      <c r="F22" s="1" t="s">
        <v>7</v>
      </c>
      <c r="G22" s="1"/>
      <c r="H22" s="1" t="s">
        <v>38</v>
      </c>
      <c r="I22" s="1"/>
      <c r="J22" s="1"/>
      <c r="K22" s="1"/>
      <c r="L22" s="7" t="s">
        <v>90</v>
      </c>
      <c r="M22" s="7"/>
      <c r="N22" s="7"/>
      <c r="O22" s="7"/>
      <c r="P22" s="1">
        <v>100000</v>
      </c>
      <c r="Q22" s="1"/>
      <c r="R22" s="1"/>
      <c r="S22" s="1" t="s">
        <v>19</v>
      </c>
      <c r="T22" s="1"/>
      <c r="U22" s="1"/>
      <c r="W22" s="1"/>
      <c r="X22" s="1"/>
      <c r="Y22" s="1"/>
      <c r="Z22" s="1"/>
      <c r="AA22" s="1"/>
      <c r="AB22" s="1"/>
      <c r="AC22" s="1"/>
      <c r="AD22" s="1"/>
    </row>
    <row r="23" spans="1:30" x14ac:dyDescent="0.2">
      <c r="A23" s="1"/>
      <c r="B23" s="1"/>
      <c r="C23" s="5" t="s">
        <v>29</v>
      </c>
      <c r="D23" s="5"/>
      <c r="E23" s="5"/>
      <c r="F23" s="1" t="s">
        <v>7</v>
      </c>
      <c r="G23" s="1"/>
      <c r="H23" s="1" t="s">
        <v>30</v>
      </c>
      <c r="I23" s="1"/>
      <c r="J23" s="1">
        <v>30000</v>
      </c>
      <c r="K23" s="1"/>
      <c r="L23" s="1" t="s">
        <v>31</v>
      </c>
      <c r="M23" s="1"/>
      <c r="N23" s="1"/>
      <c r="O23" s="1"/>
      <c r="P23" s="1"/>
      <c r="Q23" s="1"/>
      <c r="R23" s="1"/>
      <c r="S23" s="1" t="s">
        <v>32</v>
      </c>
      <c r="T23" s="1"/>
      <c r="U23" s="1"/>
      <c r="W23" s="1"/>
      <c r="X23" s="1"/>
      <c r="Y23" s="1"/>
      <c r="Z23" s="1"/>
      <c r="AA23" s="1"/>
      <c r="AB23" s="1"/>
      <c r="AC23" s="1"/>
      <c r="AD23" s="1"/>
    </row>
    <row r="24" spans="1:30" x14ac:dyDescent="0.2">
      <c r="A24" s="1"/>
      <c r="B24" s="1"/>
      <c r="C24" s="5"/>
      <c r="D24" s="5"/>
      <c r="E24" s="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W24" s="1"/>
      <c r="X24" s="1"/>
      <c r="Y24" s="1"/>
      <c r="Z24" s="1"/>
      <c r="AA24" s="1"/>
      <c r="AB24" s="1"/>
      <c r="AC24" s="1"/>
      <c r="AD24" s="1"/>
    </row>
    <row r="25" spans="1:30" x14ac:dyDescent="0.2">
      <c r="A25" s="1"/>
      <c r="B25" s="1"/>
      <c r="C25" s="5"/>
      <c r="D25" s="5"/>
      <c r="E25" s="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W25" s="1"/>
      <c r="X25" s="1"/>
      <c r="Y25" s="1"/>
      <c r="Z25" s="1"/>
      <c r="AA25" s="1"/>
      <c r="AB25" s="1"/>
      <c r="AC25" s="1"/>
      <c r="AD25" s="1"/>
    </row>
    <row r="26" spans="1:30" x14ac:dyDescent="0.2">
      <c r="A26" s="1"/>
      <c r="B26" s="1"/>
      <c r="C26" s="5"/>
      <c r="D26" s="5"/>
      <c r="E26" s="5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W26" s="1"/>
      <c r="X26" s="1"/>
      <c r="Y26" s="1"/>
      <c r="Z26" s="1"/>
      <c r="AA26" s="1"/>
      <c r="AB26" s="1"/>
      <c r="AC26" s="1"/>
      <c r="AD26" s="1"/>
    </row>
    <row r="27" spans="1:30" x14ac:dyDescent="0.2">
      <c r="A27" s="1"/>
      <c r="B27" s="1"/>
      <c r="C27" s="5"/>
      <c r="D27" s="5"/>
      <c r="E27" s="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W27" s="1"/>
      <c r="X27" s="1"/>
      <c r="Y27" s="1"/>
      <c r="Z27" s="1"/>
      <c r="AA27" s="1"/>
      <c r="AB27" s="1"/>
      <c r="AC27" s="1"/>
      <c r="AD27" s="1"/>
    </row>
    <row r="28" spans="1:30" x14ac:dyDescent="0.2">
      <c r="A28" s="1"/>
      <c r="B28" s="1"/>
      <c r="C28" s="5"/>
      <c r="D28" s="5"/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W28" s="1"/>
      <c r="X28" s="1"/>
      <c r="Y28" s="1"/>
      <c r="Z28" s="1"/>
      <c r="AA28" s="1"/>
      <c r="AB28" s="1"/>
      <c r="AC28" s="1"/>
      <c r="AD28" s="1"/>
    </row>
    <row r="29" spans="1:30" x14ac:dyDescent="0.2">
      <c r="A29" s="1"/>
      <c r="B29" s="1"/>
      <c r="C29" s="5"/>
      <c r="D29" s="5"/>
      <c r="E29" s="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W29" s="1"/>
      <c r="X29" s="1"/>
      <c r="Y29" s="1"/>
      <c r="Z29" s="1"/>
      <c r="AA29" s="1"/>
      <c r="AB29" s="1"/>
      <c r="AC29" s="1"/>
      <c r="AD29" s="1"/>
    </row>
    <row r="30" spans="1:30" x14ac:dyDescent="0.2">
      <c r="A30" s="1"/>
      <c r="B30" s="1"/>
      <c r="C30" s="5"/>
      <c r="D30" s="5"/>
      <c r="E30" s="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W30" s="1"/>
      <c r="X30" s="1"/>
      <c r="Y30" s="1"/>
      <c r="Z30" s="1"/>
      <c r="AA30" s="1"/>
      <c r="AB30" s="1"/>
      <c r="AC30" s="1"/>
      <c r="AD30" s="1"/>
    </row>
    <row r="31" spans="1:30" x14ac:dyDescent="0.2">
      <c r="A31" s="1"/>
      <c r="B31" s="1"/>
      <c r="C31" s="5"/>
      <c r="D31" s="5"/>
      <c r="E31" s="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W31" s="1"/>
      <c r="X31" s="1"/>
      <c r="Y31" s="1"/>
      <c r="Z31" s="1"/>
      <c r="AA31" s="1"/>
      <c r="AB31" s="1"/>
      <c r="AC31" s="1"/>
      <c r="AD31" s="1"/>
    </row>
    <row r="32" spans="1:30" x14ac:dyDescent="0.2">
      <c r="A32" s="1"/>
      <c r="B32" s="1"/>
      <c r="C32" s="5"/>
      <c r="D32" s="5"/>
      <c r="E32" s="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W32" s="1"/>
      <c r="X32" s="1"/>
      <c r="Y32" s="1"/>
      <c r="Z32" s="1"/>
      <c r="AA32" s="1"/>
      <c r="AB32" s="1"/>
      <c r="AC32" s="1"/>
      <c r="AD32" s="1"/>
    </row>
    <row r="33" spans="1:30" x14ac:dyDescent="0.2">
      <c r="A33" s="1"/>
      <c r="B33" s="1"/>
      <c r="C33" s="5"/>
      <c r="D33" s="5"/>
      <c r="E33" s="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W33" s="1"/>
      <c r="X33" s="1"/>
      <c r="Y33" s="1"/>
      <c r="Z33" s="1"/>
      <c r="AA33" s="1"/>
      <c r="AB33" s="1"/>
      <c r="AC33" s="1"/>
      <c r="AD33" s="1"/>
    </row>
    <row r="34" spans="1:30" x14ac:dyDescent="0.2">
      <c r="A34" s="1"/>
      <c r="B34" s="1"/>
      <c r="C34" s="5"/>
      <c r="D34" s="5"/>
      <c r="E34" s="5"/>
      <c r="F34" s="1"/>
      <c r="G34" s="1"/>
      <c r="H34" s="1" t="s">
        <v>70</v>
      </c>
      <c r="I34" s="1"/>
      <c r="J34" s="1">
        <f>SUM(J5:J23)</f>
        <v>297000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W34" s="1"/>
      <c r="X34" s="1"/>
      <c r="Y34" s="1">
        <f>SUM(Y5:Z33)</f>
        <v>105000</v>
      </c>
      <c r="Z34" s="1"/>
      <c r="AA34" s="1"/>
      <c r="AB34" s="1"/>
      <c r="AC34" s="1">
        <f>SUM(AC5:AD33)</f>
        <v>0</v>
      </c>
      <c r="AD34" s="1"/>
    </row>
    <row r="35" spans="1:30" x14ac:dyDescent="0.2">
      <c r="A35" s="1"/>
      <c r="B35" s="1"/>
      <c r="C35" s="5"/>
      <c r="D35" s="5"/>
      <c r="E35" s="5"/>
      <c r="F35" s="1"/>
      <c r="G35" s="1"/>
      <c r="H35" s="1" t="s">
        <v>71</v>
      </c>
      <c r="I35" s="1"/>
      <c r="J35" s="1">
        <f>AA36</f>
        <v>105000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W35" s="1"/>
      <c r="X35" s="1"/>
      <c r="Y35" s="1"/>
      <c r="Z35" s="1"/>
      <c r="AA35" s="1"/>
      <c r="AB35" s="1"/>
      <c r="AC35" s="1"/>
      <c r="AD35" s="1"/>
    </row>
    <row r="36" spans="1:30" x14ac:dyDescent="0.2">
      <c r="A36" s="1"/>
      <c r="B36" s="1"/>
      <c r="C36" s="5"/>
      <c r="D36" s="5"/>
      <c r="E36" s="5"/>
      <c r="F36" s="1"/>
      <c r="G36" s="1"/>
      <c r="H36" s="1" t="s">
        <v>72</v>
      </c>
      <c r="I36" s="1"/>
      <c r="J36" s="1">
        <f>J35-J34</f>
        <v>-192000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W36" s="1" t="s">
        <v>69</v>
      </c>
      <c r="X36" s="1"/>
      <c r="Y36" s="1"/>
      <c r="Z36" s="1"/>
      <c r="AA36" s="1">
        <f>Y34+AC34</f>
        <v>105000</v>
      </c>
      <c r="AB36" s="1"/>
      <c r="AC36" s="1"/>
      <c r="AD36" s="1"/>
    </row>
    <row r="37" spans="1:30" x14ac:dyDescent="0.2">
      <c r="A37" s="1"/>
      <c r="B37" s="1"/>
      <c r="C37" s="5"/>
      <c r="D37" s="5"/>
      <c r="E37" s="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9" spans="1:30" x14ac:dyDescent="0.2">
      <c r="D39" s="1" t="s">
        <v>77</v>
      </c>
      <c r="E39" s="1"/>
      <c r="F39" s="1"/>
      <c r="G39" s="1"/>
      <c r="H39" s="1"/>
      <c r="I39" s="1"/>
      <c r="J39" s="1" t="s">
        <v>78</v>
      </c>
      <c r="K39" s="1"/>
      <c r="L39" s="1"/>
      <c r="M39" s="1"/>
      <c r="N39" s="1"/>
      <c r="O39" s="1"/>
      <c r="P39" s="1" t="s">
        <v>64</v>
      </c>
      <c r="Q39" s="1"/>
      <c r="R39" t="s">
        <v>84</v>
      </c>
    </row>
    <row r="40" spans="1:30" x14ac:dyDescent="0.2">
      <c r="D40" s="1"/>
      <c r="E40" s="1"/>
      <c r="F40" s="1"/>
      <c r="G40" s="1"/>
      <c r="H40" s="1"/>
      <c r="I40" s="1"/>
      <c r="K40" s="1"/>
      <c r="L40" s="1"/>
      <c r="M40" s="1"/>
      <c r="N40" s="1"/>
      <c r="O40" s="1"/>
      <c r="P40" s="1"/>
      <c r="Q40" s="1"/>
    </row>
    <row r="41" spans="1:30" x14ac:dyDescent="0.2">
      <c r="C41">
        <v>1</v>
      </c>
      <c r="D41" s="1"/>
      <c r="E41" s="1"/>
      <c r="F41" s="1"/>
      <c r="G41" s="1"/>
      <c r="H41" s="1"/>
      <c r="I41" s="1"/>
      <c r="K41" s="1"/>
      <c r="L41" s="1"/>
      <c r="M41" s="1"/>
      <c r="N41" s="1"/>
      <c r="O41" s="1"/>
      <c r="P41" s="1"/>
      <c r="Q41" s="1"/>
    </row>
    <row r="42" spans="1:30" x14ac:dyDescent="0.2">
      <c r="C42">
        <v>2</v>
      </c>
      <c r="D42" s="1"/>
      <c r="E42" s="1"/>
      <c r="F42" s="1"/>
      <c r="G42" s="1"/>
      <c r="H42" s="1"/>
      <c r="I42" s="1"/>
      <c r="K42" s="1"/>
      <c r="L42" s="1"/>
      <c r="M42" s="1"/>
      <c r="N42" s="1"/>
      <c r="O42" s="1"/>
      <c r="P42" s="1"/>
      <c r="Q42" s="1"/>
    </row>
    <row r="43" spans="1:30" x14ac:dyDescent="0.2">
      <c r="C43">
        <v>3</v>
      </c>
      <c r="D43" s="1"/>
      <c r="E43" s="1"/>
      <c r="F43" s="1"/>
      <c r="G43" s="1"/>
      <c r="H43" s="1"/>
      <c r="I43" s="1"/>
      <c r="K43" s="1"/>
      <c r="L43" s="1"/>
      <c r="M43" s="1"/>
      <c r="N43" s="1"/>
      <c r="O43" s="1"/>
      <c r="P43" s="1"/>
      <c r="Q43" s="1"/>
    </row>
    <row r="44" spans="1:30" x14ac:dyDescent="0.2">
      <c r="D44" s="1"/>
      <c r="E44" s="1"/>
      <c r="F44" s="1"/>
      <c r="G44" s="1"/>
      <c r="H44" s="1"/>
      <c r="I44" s="1"/>
      <c r="K44" s="1"/>
      <c r="L44" s="1"/>
      <c r="M44" s="1"/>
      <c r="N44" s="1"/>
      <c r="O44" s="1"/>
      <c r="P44" s="1"/>
      <c r="Q44" s="1"/>
    </row>
    <row r="45" spans="1:30" x14ac:dyDescent="0.2">
      <c r="D45" s="1"/>
      <c r="E45" s="1"/>
      <c r="F45" s="1"/>
      <c r="G45" s="1"/>
      <c r="H45" s="1"/>
      <c r="I45" s="1"/>
      <c r="K45" s="1"/>
      <c r="L45" s="1"/>
      <c r="M45" s="1"/>
      <c r="N45" s="1"/>
      <c r="O45" s="1"/>
      <c r="P45" s="1"/>
      <c r="Q45" s="1"/>
    </row>
    <row r="46" spans="1:30" x14ac:dyDescent="0.2">
      <c r="D46" s="1"/>
      <c r="E46" s="1"/>
      <c r="F46" s="1"/>
      <c r="G46" s="1"/>
      <c r="H46" s="1"/>
      <c r="I46" s="1"/>
      <c r="K46" s="1"/>
      <c r="L46" s="1"/>
      <c r="M46" s="1"/>
      <c r="N46" s="1"/>
      <c r="O46" s="1"/>
      <c r="P46" s="1"/>
      <c r="Q46" s="1"/>
    </row>
    <row r="47" spans="1:30" x14ac:dyDescent="0.2">
      <c r="D47" s="1"/>
      <c r="E47" s="1"/>
      <c r="F47" s="1"/>
      <c r="G47" s="1"/>
      <c r="H47" s="1"/>
      <c r="I47" s="1"/>
      <c r="K47" s="1"/>
      <c r="L47" s="1"/>
      <c r="M47" s="1"/>
      <c r="N47" s="1"/>
      <c r="O47" s="1"/>
      <c r="P47" s="1"/>
      <c r="Q47" s="1"/>
    </row>
    <row r="48" spans="1:30" x14ac:dyDescent="0.2">
      <c r="D48" s="1"/>
      <c r="E48" s="1"/>
      <c r="F48" s="1"/>
      <c r="G48" s="1"/>
      <c r="H48" s="1"/>
      <c r="I48" s="1"/>
      <c r="K48" s="1"/>
      <c r="L48" s="1"/>
      <c r="M48" s="1"/>
      <c r="N48" s="1"/>
      <c r="O48" s="1"/>
      <c r="P48" s="1"/>
      <c r="Q48" s="1"/>
    </row>
    <row r="49" spans="4:18" x14ac:dyDescent="0.2">
      <c r="D49" s="1"/>
      <c r="E49" s="1"/>
      <c r="F49" s="1"/>
      <c r="G49" s="1"/>
      <c r="H49" s="1"/>
      <c r="I49" s="1"/>
      <c r="K49" s="1"/>
      <c r="L49" s="1"/>
      <c r="M49" s="1"/>
      <c r="N49" s="1"/>
      <c r="O49" s="1"/>
    </row>
    <row r="50" spans="4:18" x14ac:dyDescent="0.2">
      <c r="D50" s="1"/>
      <c r="E50" s="1"/>
      <c r="F50" s="1"/>
      <c r="G50" s="1"/>
      <c r="H50" s="1"/>
      <c r="I50" s="1"/>
      <c r="K50" s="1"/>
      <c r="L50" s="1"/>
      <c r="M50" s="1"/>
      <c r="N50" s="1"/>
      <c r="O50" s="1"/>
      <c r="P50" s="1"/>
      <c r="Q50" s="1"/>
    </row>
    <row r="51" spans="4:18" x14ac:dyDescent="0.2">
      <c r="D51" s="1"/>
      <c r="E51" s="1"/>
      <c r="F51" s="1"/>
      <c r="G51" s="1"/>
      <c r="H51" s="1"/>
      <c r="I51" s="1"/>
      <c r="K51" s="1"/>
      <c r="L51" s="1"/>
      <c r="M51" s="1"/>
      <c r="N51" s="1"/>
      <c r="O51" s="1"/>
      <c r="P51" s="3" t="s">
        <v>89</v>
      </c>
      <c r="Q51" s="3"/>
      <c r="R51">
        <f>J36-R48</f>
        <v>-192000</v>
      </c>
    </row>
    <row r="52" spans="4:18" x14ac:dyDescent="0.2">
      <c r="D52" s="1"/>
      <c r="E52" s="1"/>
      <c r="F52" s="1"/>
      <c r="G52" s="1"/>
      <c r="H52" s="1"/>
      <c r="I52" s="1"/>
      <c r="K52" s="1"/>
      <c r="L52" s="1"/>
      <c r="M52" s="1"/>
      <c r="N52" s="1"/>
      <c r="O52" s="1"/>
      <c r="P52" s="1"/>
      <c r="Q52" s="1"/>
    </row>
    <row r="53" spans="4:18" x14ac:dyDescent="0.2">
      <c r="D53" s="1"/>
      <c r="E53" s="1"/>
      <c r="F53" s="1"/>
      <c r="G53" s="1"/>
      <c r="H53" s="1"/>
      <c r="I53" s="1"/>
      <c r="K53" s="1"/>
      <c r="L53" s="1"/>
      <c r="M53" s="1"/>
      <c r="N53" s="1"/>
      <c r="O53" s="1"/>
      <c r="P53" s="1"/>
      <c r="Q53" s="1"/>
    </row>
    <row r="54" spans="4:18" x14ac:dyDescent="0.2">
      <c r="D54" s="1"/>
      <c r="E54" s="1"/>
      <c r="F54" s="1"/>
      <c r="G54" s="1"/>
      <c r="H54" s="1"/>
      <c r="I54" s="1"/>
      <c r="K54" s="1"/>
      <c r="L54" s="1"/>
      <c r="M54" s="1"/>
      <c r="N54" s="1"/>
      <c r="O54" s="1"/>
      <c r="P54" s="1"/>
      <c r="Q54" s="1"/>
    </row>
  </sheetData>
  <mergeCells count="456">
    <mergeCell ref="D54:I54"/>
    <mergeCell ref="K54:O54"/>
    <mergeCell ref="P54:Q54"/>
    <mergeCell ref="D52:I52"/>
    <mergeCell ref="K52:O52"/>
    <mergeCell ref="P52:Q52"/>
    <mergeCell ref="D53:I53"/>
    <mergeCell ref="K53:O53"/>
    <mergeCell ref="P53:Q53"/>
    <mergeCell ref="D50:I50"/>
    <mergeCell ref="K50:O50"/>
    <mergeCell ref="P50:Q50"/>
    <mergeCell ref="D51:I51"/>
    <mergeCell ref="K51:O51"/>
    <mergeCell ref="D48:I48"/>
    <mergeCell ref="K48:O48"/>
    <mergeCell ref="P48:Q48"/>
    <mergeCell ref="D49:I49"/>
    <mergeCell ref="K49:O49"/>
    <mergeCell ref="P51:Q51"/>
    <mergeCell ref="D46:I46"/>
    <mergeCell ref="K46:O46"/>
    <mergeCell ref="P46:Q46"/>
    <mergeCell ref="D47:I47"/>
    <mergeCell ref="K47:O47"/>
    <mergeCell ref="P47:Q47"/>
    <mergeCell ref="D44:I44"/>
    <mergeCell ref="K44:O44"/>
    <mergeCell ref="P44:Q44"/>
    <mergeCell ref="D45:I45"/>
    <mergeCell ref="K45:O45"/>
    <mergeCell ref="P45:Q45"/>
    <mergeCell ref="D43:I43"/>
    <mergeCell ref="K43:O43"/>
    <mergeCell ref="P43:Q43"/>
    <mergeCell ref="D40:I40"/>
    <mergeCell ref="K40:O40"/>
    <mergeCell ref="P40:Q40"/>
    <mergeCell ref="D41:I41"/>
    <mergeCell ref="K41:O41"/>
    <mergeCell ref="P41:Q41"/>
    <mergeCell ref="D39:I39"/>
    <mergeCell ref="J39:O39"/>
    <mergeCell ref="P39:Q39"/>
    <mergeCell ref="P36:R36"/>
    <mergeCell ref="S36:U36"/>
    <mergeCell ref="W36:Z36"/>
    <mergeCell ref="D42:I42"/>
    <mergeCell ref="K42:O42"/>
    <mergeCell ref="P42:Q42"/>
    <mergeCell ref="AA36:AB36"/>
    <mergeCell ref="AC36:AD36"/>
    <mergeCell ref="A37:B37"/>
    <mergeCell ref="C37:E37"/>
    <mergeCell ref="F37:G37"/>
    <mergeCell ref="H37:I37"/>
    <mergeCell ref="J37:K37"/>
    <mergeCell ref="A36:B36"/>
    <mergeCell ref="C36:E36"/>
    <mergeCell ref="F36:G36"/>
    <mergeCell ref="H36:I36"/>
    <mergeCell ref="J36:K36"/>
    <mergeCell ref="L36:O36"/>
    <mergeCell ref="L37:O37"/>
    <mergeCell ref="P37:R37"/>
    <mergeCell ref="S37:U37"/>
    <mergeCell ref="P35:R35"/>
    <mergeCell ref="S35:U35"/>
    <mergeCell ref="W35:X35"/>
    <mergeCell ref="Y35:Z35"/>
    <mergeCell ref="AA35:AB35"/>
    <mergeCell ref="AC35:AD35"/>
    <mergeCell ref="A35:B35"/>
    <mergeCell ref="C35:E35"/>
    <mergeCell ref="F35:G35"/>
    <mergeCell ref="H35:I35"/>
    <mergeCell ref="J35:K35"/>
    <mergeCell ref="L35:O35"/>
    <mergeCell ref="P34:R34"/>
    <mergeCell ref="S34:U34"/>
    <mergeCell ref="W34:X34"/>
    <mergeCell ref="Y34:Z34"/>
    <mergeCell ref="AA34:AB34"/>
    <mergeCell ref="AC34:AD34"/>
    <mergeCell ref="A34:B34"/>
    <mergeCell ref="C34:E34"/>
    <mergeCell ref="F34:G34"/>
    <mergeCell ref="H34:I34"/>
    <mergeCell ref="J34:K34"/>
    <mergeCell ref="L34:O34"/>
    <mergeCell ref="P33:R33"/>
    <mergeCell ref="S33:U33"/>
    <mergeCell ref="W33:X33"/>
    <mergeCell ref="Y33:Z33"/>
    <mergeCell ref="AA33:AB33"/>
    <mergeCell ref="AC33:AD33"/>
    <mergeCell ref="A33:B33"/>
    <mergeCell ref="C33:E33"/>
    <mergeCell ref="F33:G33"/>
    <mergeCell ref="H33:I33"/>
    <mergeCell ref="J33:K33"/>
    <mergeCell ref="L33:O33"/>
    <mergeCell ref="P32:R32"/>
    <mergeCell ref="S32:U32"/>
    <mergeCell ref="W32:X32"/>
    <mergeCell ref="Y32:Z32"/>
    <mergeCell ref="AA32:AB32"/>
    <mergeCell ref="AC32:AD32"/>
    <mergeCell ref="A32:B32"/>
    <mergeCell ref="C32:E32"/>
    <mergeCell ref="F32:G32"/>
    <mergeCell ref="H32:I32"/>
    <mergeCell ref="J32:K32"/>
    <mergeCell ref="L32:O32"/>
    <mergeCell ref="P31:R31"/>
    <mergeCell ref="S31:U31"/>
    <mergeCell ref="W31:X31"/>
    <mergeCell ref="Y31:Z31"/>
    <mergeCell ref="AA31:AB31"/>
    <mergeCell ref="AC31:AD31"/>
    <mergeCell ref="A31:B31"/>
    <mergeCell ref="C31:E31"/>
    <mergeCell ref="F31:G31"/>
    <mergeCell ref="H31:I31"/>
    <mergeCell ref="J31:K31"/>
    <mergeCell ref="L31:O31"/>
    <mergeCell ref="P30:R30"/>
    <mergeCell ref="S30:U30"/>
    <mergeCell ref="W30:X30"/>
    <mergeCell ref="Y30:Z30"/>
    <mergeCell ref="AA30:AB30"/>
    <mergeCell ref="AC30:AD30"/>
    <mergeCell ref="A30:B30"/>
    <mergeCell ref="C30:E30"/>
    <mergeCell ref="F30:G30"/>
    <mergeCell ref="H30:I30"/>
    <mergeCell ref="J30:K30"/>
    <mergeCell ref="L30:O30"/>
    <mergeCell ref="P29:R29"/>
    <mergeCell ref="S29:U29"/>
    <mergeCell ref="W29:X29"/>
    <mergeCell ref="Y29:Z29"/>
    <mergeCell ref="AA29:AB29"/>
    <mergeCell ref="AC29:AD29"/>
    <mergeCell ref="A29:B29"/>
    <mergeCell ref="C29:E29"/>
    <mergeCell ref="F29:G29"/>
    <mergeCell ref="H29:I29"/>
    <mergeCell ref="J29:K29"/>
    <mergeCell ref="L29:O29"/>
    <mergeCell ref="P28:R28"/>
    <mergeCell ref="S28:U28"/>
    <mergeCell ref="W28:X28"/>
    <mergeCell ref="Y28:Z28"/>
    <mergeCell ref="AA28:AB28"/>
    <mergeCell ref="AC28:AD28"/>
    <mergeCell ref="A28:B28"/>
    <mergeCell ref="C28:E28"/>
    <mergeCell ref="F28:G28"/>
    <mergeCell ref="H28:I28"/>
    <mergeCell ref="J28:K28"/>
    <mergeCell ref="L28:O28"/>
    <mergeCell ref="P27:R27"/>
    <mergeCell ref="S27:U27"/>
    <mergeCell ref="W27:X27"/>
    <mergeCell ref="Y27:Z27"/>
    <mergeCell ref="AA27:AB27"/>
    <mergeCell ref="AC27:AD27"/>
    <mergeCell ref="A27:B27"/>
    <mergeCell ref="C27:E27"/>
    <mergeCell ref="F27:G27"/>
    <mergeCell ref="H27:I27"/>
    <mergeCell ref="J27:K27"/>
    <mergeCell ref="L27:O27"/>
    <mergeCell ref="P26:R26"/>
    <mergeCell ref="S26:U26"/>
    <mergeCell ref="W26:X26"/>
    <mergeCell ref="Y26:Z26"/>
    <mergeCell ref="AA26:AB26"/>
    <mergeCell ref="AC26:AD26"/>
    <mergeCell ref="A26:B26"/>
    <mergeCell ref="C26:E26"/>
    <mergeCell ref="F26:G26"/>
    <mergeCell ref="H26:I26"/>
    <mergeCell ref="J26:K26"/>
    <mergeCell ref="L26:O26"/>
    <mergeCell ref="P25:R25"/>
    <mergeCell ref="S25:U25"/>
    <mergeCell ref="W25:X25"/>
    <mergeCell ref="Y25:Z25"/>
    <mergeCell ref="AA25:AB25"/>
    <mergeCell ref="AC25:AD25"/>
    <mergeCell ref="A25:B25"/>
    <mergeCell ref="C25:E25"/>
    <mergeCell ref="F25:G25"/>
    <mergeCell ref="H25:I25"/>
    <mergeCell ref="J25:K25"/>
    <mergeCell ref="L25:O25"/>
    <mergeCell ref="P24:R24"/>
    <mergeCell ref="S24:U24"/>
    <mergeCell ref="W24:X24"/>
    <mergeCell ref="Y24:Z24"/>
    <mergeCell ref="AA24:AB24"/>
    <mergeCell ref="AC24:AD24"/>
    <mergeCell ref="A24:B24"/>
    <mergeCell ref="C24:E24"/>
    <mergeCell ref="F24:G24"/>
    <mergeCell ref="H24:I24"/>
    <mergeCell ref="J24:K24"/>
    <mergeCell ref="L24:O24"/>
    <mergeCell ref="P23:R23"/>
    <mergeCell ref="S23:U23"/>
    <mergeCell ref="W23:X23"/>
    <mergeCell ref="Y23:Z23"/>
    <mergeCell ref="AA23:AB23"/>
    <mergeCell ref="AC23:AD23"/>
    <mergeCell ref="A23:B23"/>
    <mergeCell ref="C23:E23"/>
    <mergeCell ref="F23:G23"/>
    <mergeCell ref="H23:I23"/>
    <mergeCell ref="J23:K23"/>
    <mergeCell ref="L23:O23"/>
    <mergeCell ref="P22:R22"/>
    <mergeCell ref="S22:U22"/>
    <mergeCell ref="W22:X22"/>
    <mergeCell ref="Y22:Z22"/>
    <mergeCell ref="AA22:AB22"/>
    <mergeCell ref="AC22:AD22"/>
    <mergeCell ref="A22:B22"/>
    <mergeCell ref="C22:E22"/>
    <mergeCell ref="F22:G22"/>
    <mergeCell ref="H22:I22"/>
    <mergeCell ref="J22:K22"/>
    <mergeCell ref="L22:O22"/>
    <mergeCell ref="P21:R21"/>
    <mergeCell ref="S21:U21"/>
    <mergeCell ref="W21:X21"/>
    <mergeCell ref="Y21:Z21"/>
    <mergeCell ref="AA21:AB21"/>
    <mergeCell ref="AC21:AD21"/>
    <mergeCell ref="A21:B21"/>
    <mergeCell ref="C21:E21"/>
    <mergeCell ref="F21:G21"/>
    <mergeCell ref="H21:I21"/>
    <mergeCell ref="J21:K21"/>
    <mergeCell ref="L21:O21"/>
    <mergeCell ref="P20:R20"/>
    <mergeCell ref="S20:U20"/>
    <mergeCell ref="W20:X20"/>
    <mergeCell ref="Y20:Z20"/>
    <mergeCell ref="AA20:AB20"/>
    <mergeCell ref="AC20:AD20"/>
    <mergeCell ref="A20:B20"/>
    <mergeCell ref="C20:E20"/>
    <mergeCell ref="F20:G20"/>
    <mergeCell ref="H20:I20"/>
    <mergeCell ref="J20:K20"/>
    <mergeCell ref="L20:O20"/>
    <mergeCell ref="P19:R19"/>
    <mergeCell ref="S19:U19"/>
    <mergeCell ref="W19:X19"/>
    <mergeCell ref="Y19:Z19"/>
    <mergeCell ref="AA19:AB19"/>
    <mergeCell ref="AC19:AD19"/>
    <mergeCell ref="A19:B19"/>
    <mergeCell ref="C19:E19"/>
    <mergeCell ref="F19:G19"/>
    <mergeCell ref="H19:I19"/>
    <mergeCell ref="J19:K19"/>
    <mergeCell ref="L19:O19"/>
    <mergeCell ref="P18:R18"/>
    <mergeCell ref="S18:U18"/>
    <mergeCell ref="W18:X18"/>
    <mergeCell ref="Y18:Z18"/>
    <mergeCell ref="AA18:AB18"/>
    <mergeCell ref="AC18:AD18"/>
    <mergeCell ref="A18:B18"/>
    <mergeCell ref="C18:E18"/>
    <mergeCell ref="F18:G18"/>
    <mergeCell ref="H18:I18"/>
    <mergeCell ref="J18:K18"/>
    <mergeCell ref="L18:O18"/>
    <mergeCell ref="P17:R17"/>
    <mergeCell ref="S17:U17"/>
    <mergeCell ref="W17:X17"/>
    <mergeCell ref="Y17:Z17"/>
    <mergeCell ref="AA17:AB17"/>
    <mergeCell ref="AC17:AD17"/>
    <mergeCell ref="A17:B17"/>
    <mergeCell ref="C17:E17"/>
    <mergeCell ref="F17:G17"/>
    <mergeCell ref="H17:I17"/>
    <mergeCell ref="J17:K17"/>
    <mergeCell ref="L17:O17"/>
    <mergeCell ref="P16:R16"/>
    <mergeCell ref="S16:U16"/>
    <mergeCell ref="W16:X16"/>
    <mergeCell ref="Y16:Z16"/>
    <mergeCell ref="AA16:AB16"/>
    <mergeCell ref="AC16:AD16"/>
    <mergeCell ref="A16:B16"/>
    <mergeCell ref="C16:E16"/>
    <mergeCell ref="F16:G16"/>
    <mergeCell ref="H16:I16"/>
    <mergeCell ref="J16:K16"/>
    <mergeCell ref="L16:O16"/>
    <mergeCell ref="P15:R15"/>
    <mergeCell ref="S15:U15"/>
    <mergeCell ref="W15:X15"/>
    <mergeCell ref="Y15:Z15"/>
    <mergeCell ref="AA15:AB15"/>
    <mergeCell ref="AC15:AD15"/>
    <mergeCell ref="A15:B15"/>
    <mergeCell ref="C15:E15"/>
    <mergeCell ref="F15:G15"/>
    <mergeCell ref="H15:I15"/>
    <mergeCell ref="J15:K15"/>
    <mergeCell ref="L15:O15"/>
    <mergeCell ref="P14:R14"/>
    <mergeCell ref="S14:U14"/>
    <mergeCell ref="W14:X14"/>
    <mergeCell ref="Y14:Z14"/>
    <mergeCell ref="AA14:AB14"/>
    <mergeCell ref="AC14:AD14"/>
    <mergeCell ref="A14:B14"/>
    <mergeCell ref="C14:E14"/>
    <mergeCell ref="F14:G14"/>
    <mergeCell ref="H14:I14"/>
    <mergeCell ref="J14:K14"/>
    <mergeCell ref="L14:O14"/>
    <mergeCell ref="P13:R13"/>
    <mergeCell ref="S13:U13"/>
    <mergeCell ref="W13:X13"/>
    <mergeCell ref="Y13:Z13"/>
    <mergeCell ref="AA13:AB13"/>
    <mergeCell ref="AC13:AD13"/>
    <mergeCell ref="A13:B13"/>
    <mergeCell ref="C13:E13"/>
    <mergeCell ref="F13:G13"/>
    <mergeCell ref="H13:I13"/>
    <mergeCell ref="J13:K13"/>
    <mergeCell ref="L13:O13"/>
    <mergeCell ref="P12:R12"/>
    <mergeCell ref="S12:U12"/>
    <mergeCell ref="W12:X12"/>
    <mergeCell ref="Y12:Z12"/>
    <mergeCell ref="AA12:AB12"/>
    <mergeCell ref="AC12:AD12"/>
    <mergeCell ref="A12:B12"/>
    <mergeCell ref="C12:E12"/>
    <mergeCell ref="F12:G12"/>
    <mergeCell ref="H12:I12"/>
    <mergeCell ref="J12:K12"/>
    <mergeCell ref="L12:O12"/>
    <mergeCell ref="P11:R11"/>
    <mergeCell ref="S11:U11"/>
    <mergeCell ref="W11:X11"/>
    <mergeCell ref="Y11:Z11"/>
    <mergeCell ref="AA11:AB11"/>
    <mergeCell ref="AC11:AD11"/>
    <mergeCell ref="A11:B11"/>
    <mergeCell ref="C11:E11"/>
    <mergeCell ref="F11:G11"/>
    <mergeCell ref="H11:I11"/>
    <mergeCell ref="J11:K11"/>
    <mergeCell ref="L11:O11"/>
    <mergeCell ref="P10:R10"/>
    <mergeCell ref="S10:U10"/>
    <mergeCell ref="W10:X10"/>
    <mergeCell ref="Y10:Z10"/>
    <mergeCell ref="AA10:AB10"/>
    <mergeCell ref="AC10:AD10"/>
    <mergeCell ref="A10:B10"/>
    <mergeCell ref="C10:E10"/>
    <mergeCell ref="F10:G10"/>
    <mergeCell ref="H10:I10"/>
    <mergeCell ref="J10:K10"/>
    <mergeCell ref="L10:O10"/>
    <mergeCell ref="P9:R9"/>
    <mergeCell ref="S9:U9"/>
    <mergeCell ref="W9:X9"/>
    <mergeCell ref="Y9:Z9"/>
    <mergeCell ref="AA9:AB9"/>
    <mergeCell ref="AC9:AD9"/>
    <mergeCell ref="A9:B9"/>
    <mergeCell ref="C9:E9"/>
    <mergeCell ref="F9:G9"/>
    <mergeCell ref="H9:I9"/>
    <mergeCell ref="J9:K9"/>
    <mergeCell ref="L9:O9"/>
    <mergeCell ref="P8:R8"/>
    <mergeCell ref="S8:U8"/>
    <mergeCell ref="W8:X8"/>
    <mergeCell ref="Y8:Z8"/>
    <mergeCell ref="AA8:AB8"/>
    <mergeCell ref="AC8:AD8"/>
    <mergeCell ref="A8:B8"/>
    <mergeCell ref="C8:E8"/>
    <mergeCell ref="F8:G8"/>
    <mergeCell ref="H8:I8"/>
    <mergeCell ref="J8:K8"/>
    <mergeCell ref="L8:O8"/>
    <mergeCell ref="P7:R7"/>
    <mergeCell ref="S7:U7"/>
    <mergeCell ref="W7:X7"/>
    <mergeCell ref="Y7:Z7"/>
    <mergeCell ref="AA7:AB7"/>
    <mergeCell ref="AC7:AD7"/>
    <mergeCell ref="A7:B7"/>
    <mergeCell ref="C7:E7"/>
    <mergeCell ref="F7:G7"/>
    <mergeCell ref="H7:I7"/>
    <mergeCell ref="J7:K7"/>
    <mergeCell ref="L7:O7"/>
    <mergeCell ref="Y6:Z6"/>
    <mergeCell ref="AA6:AB6"/>
    <mergeCell ref="AC6:AD6"/>
    <mergeCell ref="A6:B6"/>
    <mergeCell ref="C6:E6"/>
    <mergeCell ref="F6:G6"/>
    <mergeCell ref="H6:I6"/>
    <mergeCell ref="J6:K6"/>
    <mergeCell ref="L6:O6"/>
    <mergeCell ref="A5:B5"/>
    <mergeCell ref="C5:E5"/>
    <mergeCell ref="F5:G5"/>
    <mergeCell ref="H5:I5"/>
    <mergeCell ref="J5:K5"/>
    <mergeCell ref="L5:O5"/>
    <mergeCell ref="P6:R6"/>
    <mergeCell ref="S6:U6"/>
    <mergeCell ref="W6:X6"/>
    <mergeCell ref="W4:X4"/>
    <mergeCell ref="Y4:Z4"/>
    <mergeCell ref="AA4:AB4"/>
    <mergeCell ref="AC4:AD4"/>
    <mergeCell ref="AH4:AI4"/>
    <mergeCell ref="AJ4:AL5"/>
    <mergeCell ref="AF5:AG5"/>
    <mergeCell ref="AH5:AI5"/>
    <mergeCell ref="A1:AC3"/>
    <mergeCell ref="AF3:AH3"/>
    <mergeCell ref="A4:B4"/>
    <mergeCell ref="C4:E4"/>
    <mergeCell ref="F4:G4"/>
    <mergeCell ref="H4:I4"/>
    <mergeCell ref="J4:K4"/>
    <mergeCell ref="L4:O4"/>
    <mergeCell ref="P4:R4"/>
    <mergeCell ref="S4:U4"/>
    <mergeCell ref="P5:R5"/>
    <mergeCell ref="S5:U5"/>
    <mergeCell ref="W5:X5"/>
    <mergeCell ref="Y5:Z5"/>
    <mergeCell ref="AA5:AB5"/>
    <mergeCell ref="AC5:AD5"/>
  </mergeCells>
  <conditionalFormatting sqref="J36:K36">
    <cfRule type="colorScale" priority="4">
      <colorScale>
        <cfvo type="num" val="0"/>
        <cfvo type="max"/>
        <color rgb="FFFF7128"/>
        <color theme="9"/>
      </colorScale>
    </cfRule>
    <cfRule type="colorScale" priority="5">
      <colorScale>
        <cfvo type="formula" val="$J$361&lt;0"/>
        <cfvo type="max"/>
        <color rgb="FFFF7128"/>
        <color theme="9"/>
      </colorScale>
    </cfRule>
    <cfRule type="colorScale" priority="6">
      <colorScale>
        <cfvo type="num" val="0"/>
        <cfvo type="max"/>
        <color theme="9"/>
        <color rgb="FFFFEF9C"/>
      </colorScale>
    </cfRule>
  </conditionalFormatting>
  <conditionalFormatting sqref="R51">
    <cfRule type="colorScale" priority="2">
      <colorScale>
        <cfvo type="formula" val=" $A$37 &lt; $R$51"/>
        <cfvo type="max"/>
        <color rgb="FFFF7128"/>
        <color rgb="FFFFEF9C"/>
      </colorScale>
    </cfRule>
    <cfRule type="colorScale" priority="3">
      <colorScale>
        <cfvo type="formula" val=" $A$37 &lt; $R$51"/>
        <cfvo type="max"/>
        <color rgb="FFFF7128"/>
        <color rgb="FFFFEF9C"/>
      </colorScale>
    </cfRule>
  </conditionalFormatting>
  <conditionalFormatting sqref="S49">
    <cfRule type="colorScale" priority="15">
      <colorScale>
        <cfvo type="min"/>
        <cfvo type="formula" val="$A$37 &gt;= $R$51"/>
        <color rgb="FFFF7128"/>
        <color rgb="FFFFEF9C"/>
      </colorScale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DC60-33D4-DC43-92A5-BED074F2CF8B}">
  <dimension ref="A1:AL54"/>
  <sheetViews>
    <sheetView workbookViewId="0">
      <selection activeCell="Y8" sqref="Y8:Z8"/>
    </sheetView>
  </sheetViews>
  <sheetFormatPr baseColWidth="10" defaultRowHeight="16" x14ac:dyDescent="0.2"/>
  <sheetData>
    <row r="1" spans="1:38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38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38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F3" s="1" t="s">
        <v>74</v>
      </c>
      <c r="AG3" s="1"/>
      <c r="AH3" s="1"/>
    </row>
    <row r="4" spans="1:38" x14ac:dyDescent="0.2">
      <c r="A4" s="1" t="s">
        <v>1</v>
      </c>
      <c r="B4" s="1"/>
      <c r="C4" s="5" t="s">
        <v>2</v>
      </c>
      <c r="D4" s="5"/>
      <c r="E4" s="5"/>
      <c r="F4" s="1" t="s">
        <v>3</v>
      </c>
      <c r="G4" s="1"/>
      <c r="H4" s="1" t="s">
        <v>14</v>
      </c>
      <c r="I4" s="1"/>
      <c r="J4" s="1" t="s">
        <v>10</v>
      </c>
      <c r="K4" s="1"/>
      <c r="L4" s="1" t="s">
        <v>5</v>
      </c>
      <c r="M4" s="1"/>
      <c r="N4" s="1"/>
      <c r="O4" s="1"/>
      <c r="P4" s="1" t="s">
        <v>17</v>
      </c>
      <c r="Q4" s="1"/>
      <c r="R4" s="1"/>
      <c r="S4" s="1" t="s">
        <v>16</v>
      </c>
      <c r="T4" s="1"/>
      <c r="U4" s="1"/>
      <c r="W4" s="1" t="s">
        <v>63</v>
      </c>
      <c r="X4" s="1"/>
      <c r="Y4" s="1" t="s">
        <v>4</v>
      </c>
      <c r="Z4" s="1"/>
      <c r="AA4" s="1" t="s">
        <v>64</v>
      </c>
      <c r="AB4" s="1"/>
      <c r="AC4" s="1" t="s">
        <v>4</v>
      </c>
      <c r="AD4" s="1"/>
      <c r="AF4" t="s">
        <v>75</v>
      </c>
      <c r="AH4" s="1" t="s">
        <v>76</v>
      </c>
      <c r="AI4" s="1"/>
      <c r="AJ4" s="2"/>
      <c r="AK4" s="2"/>
      <c r="AL4" s="2"/>
    </row>
    <row r="5" spans="1:38" x14ac:dyDescent="0.2">
      <c r="A5" s="6" t="s">
        <v>46</v>
      </c>
      <c r="B5" s="1"/>
      <c r="C5" s="5" t="s">
        <v>6</v>
      </c>
      <c r="D5" s="5"/>
      <c r="E5" s="5"/>
      <c r="F5" s="1" t="s">
        <v>7</v>
      </c>
      <c r="G5" s="1"/>
      <c r="H5" s="1" t="s">
        <v>8</v>
      </c>
      <c r="I5" s="1"/>
      <c r="J5" s="1">
        <v>65000</v>
      </c>
      <c r="K5" s="1"/>
      <c r="L5" s="1" t="s">
        <v>9</v>
      </c>
      <c r="M5" s="1"/>
      <c r="N5" s="1"/>
      <c r="O5" s="1"/>
      <c r="P5" s="1">
        <v>5900000</v>
      </c>
      <c r="Q5" s="1"/>
      <c r="R5" s="1"/>
      <c r="S5" s="1" t="s">
        <v>18</v>
      </c>
      <c r="T5" s="1"/>
      <c r="U5" s="1"/>
      <c r="W5" s="1" t="s">
        <v>65</v>
      </c>
      <c r="X5" s="1"/>
      <c r="Y5" s="1">
        <v>58000</v>
      </c>
      <c r="Z5" s="1"/>
      <c r="AA5" s="1" t="s">
        <v>66</v>
      </c>
      <c r="AB5" s="1"/>
      <c r="AC5" s="1"/>
      <c r="AD5" s="1"/>
      <c r="AF5" s="1"/>
      <c r="AG5" s="1"/>
      <c r="AH5" s="1">
        <f>AF5*85</f>
        <v>0</v>
      </c>
      <c r="AI5" s="1"/>
      <c r="AJ5" s="2"/>
      <c r="AK5" s="2"/>
      <c r="AL5" s="2"/>
    </row>
    <row r="6" spans="1:38" x14ac:dyDescent="0.2">
      <c r="A6" s="1"/>
      <c r="B6" s="1"/>
      <c r="C6" s="5" t="s">
        <v>11</v>
      </c>
      <c r="D6" s="5"/>
      <c r="E6" s="5"/>
      <c r="F6" s="1" t="s">
        <v>12</v>
      </c>
      <c r="G6" s="1"/>
      <c r="H6" s="1" t="s">
        <v>13</v>
      </c>
      <c r="I6" s="1"/>
      <c r="J6" s="1"/>
      <c r="K6" s="1"/>
      <c r="L6" s="7" t="s">
        <v>90</v>
      </c>
      <c r="M6" s="7"/>
      <c r="N6" s="7"/>
      <c r="O6" s="7"/>
      <c r="P6" s="1">
        <v>150000</v>
      </c>
      <c r="Q6" s="1"/>
      <c r="R6" s="1"/>
      <c r="S6" s="1" t="s">
        <v>19</v>
      </c>
      <c r="T6" s="1"/>
      <c r="U6" s="1"/>
      <c r="W6" s="1" t="s">
        <v>68</v>
      </c>
      <c r="X6" s="1"/>
      <c r="Y6" s="1"/>
      <c r="Z6" s="1"/>
      <c r="AA6" s="1" t="s">
        <v>67</v>
      </c>
      <c r="AB6" s="1"/>
      <c r="AC6" s="1"/>
      <c r="AD6" s="1"/>
    </row>
    <row r="7" spans="1:38" x14ac:dyDescent="0.2">
      <c r="A7" s="1"/>
      <c r="B7" s="1"/>
      <c r="C7" s="5" t="s">
        <v>20</v>
      </c>
      <c r="D7" s="5"/>
      <c r="E7" s="5"/>
      <c r="F7" s="1" t="s">
        <v>12</v>
      </c>
      <c r="G7" s="1"/>
      <c r="H7" s="1" t="s">
        <v>21</v>
      </c>
      <c r="I7" s="1"/>
      <c r="J7" s="1">
        <v>13000</v>
      </c>
      <c r="K7" s="1"/>
      <c r="L7" s="1" t="s">
        <v>15</v>
      </c>
      <c r="M7" s="1"/>
      <c r="N7" s="1"/>
      <c r="O7" s="1"/>
      <c r="P7" s="1">
        <v>160000</v>
      </c>
      <c r="Q7" s="1"/>
      <c r="R7" s="1"/>
      <c r="S7" s="1" t="s">
        <v>22</v>
      </c>
      <c r="T7" s="1"/>
      <c r="U7" s="1"/>
      <c r="W7" s="1" t="s">
        <v>88</v>
      </c>
      <c r="X7" s="1"/>
      <c r="Y7" s="1">
        <f>MAX(0, Sept2025!R51)</f>
        <v>0</v>
      </c>
      <c r="Z7" s="1"/>
      <c r="AA7" s="1"/>
      <c r="AB7" s="1"/>
      <c r="AC7" s="1"/>
      <c r="AD7" s="1"/>
    </row>
    <row r="8" spans="1:38" x14ac:dyDescent="0.2">
      <c r="A8" s="1"/>
      <c r="B8" s="1"/>
      <c r="C8" s="5" t="s">
        <v>85</v>
      </c>
      <c r="D8" s="5"/>
      <c r="E8" s="5"/>
      <c r="F8" s="1" t="s">
        <v>7</v>
      </c>
      <c r="G8" s="1"/>
      <c r="H8" s="1" t="s">
        <v>23</v>
      </c>
      <c r="I8" s="1"/>
      <c r="J8" s="1">
        <v>13000</v>
      </c>
      <c r="K8" s="1"/>
      <c r="L8" s="1" t="s">
        <v>24</v>
      </c>
      <c r="M8" s="1"/>
      <c r="N8" s="1"/>
      <c r="O8" s="1"/>
      <c r="P8" s="1">
        <v>345000</v>
      </c>
      <c r="Q8" s="1"/>
      <c r="R8" s="1"/>
      <c r="S8" s="1" t="s">
        <v>18</v>
      </c>
      <c r="T8" s="1"/>
      <c r="U8" s="1"/>
      <c r="W8" s="1"/>
      <c r="X8" s="1"/>
      <c r="Y8" s="1"/>
      <c r="Z8" s="1"/>
      <c r="AA8" s="1"/>
      <c r="AB8" s="1"/>
      <c r="AC8" s="1"/>
      <c r="AD8" s="1"/>
    </row>
    <row r="9" spans="1:38" x14ac:dyDescent="0.2">
      <c r="A9" s="1"/>
      <c r="B9" s="1"/>
      <c r="C9" s="5" t="s">
        <v>28</v>
      </c>
      <c r="D9" s="5"/>
      <c r="E9" s="5"/>
      <c r="F9" s="1" t="s">
        <v>7</v>
      </c>
      <c r="G9" s="1"/>
      <c r="H9" s="1" t="s">
        <v>25</v>
      </c>
      <c r="I9" s="1"/>
      <c r="J9" s="1">
        <v>15000</v>
      </c>
      <c r="K9" s="1"/>
      <c r="L9" s="1" t="s">
        <v>26</v>
      </c>
      <c r="M9" s="1"/>
      <c r="N9" s="1"/>
      <c r="O9" s="1"/>
      <c r="P9" s="1"/>
      <c r="Q9" s="1"/>
      <c r="R9" s="1"/>
      <c r="S9" s="1" t="s">
        <v>27</v>
      </c>
      <c r="T9" s="1"/>
      <c r="U9" s="1"/>
      <c r="W9" s="1"/>
      <c r="X9" s="1"/>
      <c r="Y9" s="1"/>
      <c r="Z9" s="1"/>
      <c r="AA9" s="1"/>
      <c r="AB9" s="1"/>
      <c r="AC9" s="1"/>
      <c r="AD9" s="1"/>
    </row>
    <row r="10" spans="1:38" x14ac:dyDescent="0.2">
      <c r="A10" s="1"/>
      <c r="B10" s="1"/>
      <c r="C10" s="5" t="s">
        <v>29</v>
      </c>
      <c r="D10" s="5"/>
      <c r="E10" s="5"/>
      <c r="F10" s="1" t="s">
        <v>7</v>
      </c>
      <c r="G10" s="1"/>
      <c r="H10" s="1" t="s">
        <v>30</v>
      </c>
      <c r="I10" s="1"/>
      <c r="J10" s="1">
        <v>25000</v>
      </c>
      <c r="K10" s="1"/>
      <c r="L10" s="1" t="s">
        <v>31</v>
      </c>
      <c r="M10" s="1"/>
      <c r="N10" s="1"/>
      <c r="O10" s="1"/>
      <c r="P10" s="1"/>
      <c r="Q10" s="1"/>
      <c r="R10" s="1"/>
      <c r="S10" s="1" t="s">
        <v>32</v>
      </c>
      <c r="T10" s="1"/>
      <c r="U10" s="1"/>
      <c r="W10" s="1" t="s">
        <v>73</v>
      </c>
      <c r="X10" s="1"/>
      <c r="Y10" s="1">
        <f>AH5</f>
        <v>0</v>
      </c>
      <c r="Z10" s="1"/>
      <c r="AA10" s="1"/>
      <c r="AB10" s="1"/>
      <c r="AC10" s="1"/>
      <c r="AD10" s="1"/>
    </row>
    <row r="11" spans="1:38" x14ac:dyDescent="0.2">
      <c r="A11" s="1"/>
      <c r="B11" s="1"/>
      <c r="C11" s="5" t="s">
        <v>33</v>
      </c>
      <c r="D11" s="5"/>
      <c r="E11" s="5"/>
      <c r="F11" s="1" t="s">
        <v>7</v>
      </c>
      <c r="G11" s="1"/>
      <c r="H11" s="1" t="s">
        <v>25</v>
      </c>
      <c r="I11" s="1"/>
      <c r="J11" s="1">
        <v>10000</v>
      </c>
      <c r="K11" s="1"/>
      <c r="L11" s="1" t="s">
        <v>24</v>
      </c>
      <c r="M11" s="1"/>
      <c r="N11" s="1"/>
      <c r="O11" s="1"/>
      <c r="P11" s="1"/>
      <c r="Q11" s="1"/>
      <c r="R11" s="1"/>
      <c r="S11" s="1" t="s">
        <v>34</v>
      </c>
      <c r="T11" s="1"/>
      <c r="U11" s="1"/>
      <c r="W11" s="1"/>
      <c r="X11" s="1"/>
      <c r="Y11" s="1"/>
      <c r="Z11" s="1"/>
      <c r="AA11" s="1"/>
      <c r="AB11" s="1"/>
      <c r="AC11" s="1"/>
      <c r="AD11" s="1"/>
    </row>
    <row r="12" spans="1:38" x14ac:dyDescent="0.2">
      <c r="A12" s="1"/>
      <c r="B12" s="1"/>
      <c r="C12" s="5" t="s">
        <v>35</v>
      </c>
      <c r="D12" s="5"/>
      <c r="E12" s="5"/>
      <c r="F12" s="1" t="s">
        <v>7</v>
      </c>
      <c r="G12" s="1"/>
      <c r="H12" s="1" t="s">
        <v>36</v>
      </c>
      <c r="I12" s="1"/>
      <c r="J12" s="1">
        <v>15000</v>
      </c>
      <c r="K12" s="1"/>
      <c r="L12" s="7" t="s">
        <v>90</v>
      </c>
      <c r="M12" s="7"/>
      <c r="N12" s="7"/>
      <c r="O12" s="7"/>
      <c r="P12" s="1">
        <v>90000</v>
      </c>
      <c r="Q12" s="1"/>
      <c r="R12" s="1"/>
      <c r="S12" s="1" t="s">
        <v>38</v>
      </c>
      <c r="T12" s="1"/>
      <c r="U12" s="1"/>
      <c r="W12" s="1"/>
      <c r="X12" s="1"/>
      <c r="Y12" s="1"/>
      <c r="Z12" s="1"/>
      <c r="AA12" s="1"/>
      <c r="AB12" s="1"/>
      <c r="AC12" s="1"/>
      <c r="AD12" s="1"/>
    </row>
    <row r="13" spans="1:38" x14ac:dyDescent="0.2">
      <c r="A13" s="1"/>
      <c r="B13" s="1"/>
      <c r="C13" s="5" t="s">
        <v>39</v>
      </c>
      <c r="D13" s="5"/>
      <c r="E13" s="5"/>
      <c r="F13" s="1" t="s">
        <v>7</v>
      </c>
      <c r="G13" s="1"/>
      <c r="H13" s="1" t="s">
        <v>40</v>
      </c>
      <c r="I13" s="1"/>
      <c r="J13" s="1">
        <v>10000</v>
      </c>
      <c r="K13" s="1"/>
      <c r="L13" s="1" t="s">
        <v>41</v>
      </c>
      <c r="M13" s="1"/>
      <c r="N13" s="1"/>
      <c r="O13" s="1"/>
      <c r="P13" s="1"/>
      <c r="Q13" s="1"/>
      <c r="R13" s="1"/>
      <c r="S13" s="1" t="s">
        <v>34</v>
      </c>
      <c r="T13" s="1"/>
      <c r="U13" s="1"/>
      <c r="W13" s="1"/>
      <c r="X13" s="1"/>
      <c r="Y13" s="1"/>
      <c r="Z13" s="1"/>
      <c r="AA13" s="1"/>
      <c r="AB13" s="1"/>
      <c r="AC13" s="1"/>
      <c r="AD13" s="1"/>
    </row>
    <row r="14" spans="1:38" x14ac:dyDescent="0.2">
      <c r="A14" s="1"/>
      <c r="B14" s="1"/>
      <c r="C14" s="5" t="s">
        <v>42</v>
      </c>
      <c r="D14" s="5"/>
      <c r="E14" s="5"/>
      <c r="F14" s="1" t="s">
        <v>7</v>
      </c>
      <c r="G14" s="1"/>
      <c r="H14" s="1" t="s">
        <v>44</v>
      </c>
      <c r="I14" s="1"/>
      <c r="J14" s="1">
        <v>10000</v>
      </c>
      <c r="K14" s="1"/>
      <c r="L14" s="1" t="s">
        <v>43</v>
      </c>
      <c r="M14" s="1"/>
      <c r="N14" s="1"/>
      <c r="O14" s="1"/>
      <c r="P14" s="1"/>
      <c r="Q14" s="1"/>
      <c r="R14" s="1"/>
      <c r="S14" s="1" t="s">
        <v>45</v>
      </c>
      <c r="T14" s="1"/>
      <c r="U14" s="1"/>
      <c r="W14" s="1"/>
      <c r="X14" s="1"/>
      <c r="Y14" s="1"/>
      <c r="Z14" s="1"/>
      <c r="AA14" s="1"/>
      <c r="AB14" s="1"/>
      <c r="AC14" s="1"/>
      <c r="AD14" s="1"/>
    </row>
    <row r="15" spans="1:38" x14ac:dyDescent="0.2">
      <c r="A15" s="1" t="s">
        <v>47</v>
      </c>
      <c r="B15" s="1"/>
      <c r="C15" s="5" t="s">
        <v>48</v>
      </c>
      <c r="D15" s="5"/>
      <c r="E15" s="5"/>
      <c r="F15" s="1" t="s">
        <v>7</v>
      </c>
      <c r="G15" s="1"/>
      <c r="H15" s="1" t="s">
        <v>25</v>
      </c>
      <c r="I15" s="1"/>
      <c r="J15" s="1">
        <v>6000</v>
      </c>
      <c r="K15" s="1"/>
      <c r="L15" s="1" t="s">
        <v>49</v>
      </c>
      <c r="M15" s="1"/>
      <c r="N15" s="1"/>
      <c r="O15" s="1"/>
      <c r="P15" s="1"/>
      <c r="Q15" s="1"/>
      <c r="R15" s="1"/>
      <c r="S15" s="1" t="s">
        <v>34</v>
      </c>
      <c r="T15" s="1"/>
      <c r="U15" s="1"/>
      <c r="W15" s="1"/>
      <c r="X15" s="1"/>
      <c r="Y15" s="1"/>
      <c r="Z15" s="1"/>
      <c r="AA15" s="1"/>
      <c r="AB15" s="1"/>
      <c r="AC15" s="1"/>
      <c r="AD15" s="1"/>
    </row>
    <row r="16" spans="1:38" x14ac:dyDescent="0.2">
      <c r="A16" s="1"/>
      <c r="B16" s="1"/>
      <c r="C16" s="5" t="s">
        <v>50</v>
      </c>
      <c r="D16" s="5"/>
      <c r="E16" s="5"/>
      <c r="F16" s="1" t="s">
        <v>7</v>
      </c>
      <c r="G16" s="1"/>
      <c r="H16" s="1" t="s">
        <v>51</v>
      </c>
      <c r="I16" s="1"/>
      <c r="J16" s="1">
        <v>20000</v>
      </c>
      <c r="K16" s="1"/>
      <c r="L16" s="1" t="s">
        <v>52</v>
      </c>
      <c r="M16" s="1"/>
      <c r="N16" s="1"/>
      <c r="O16" s="1"/>
      <c r="P16" s="1">
        <v>528000</v>
      </c>
      <c r="Q16" s="1"/>
      <c r="R16" s="1"/>
      <c r="S16" s="1" t="s">
        <v>34</v>
      </c>
      <c r="T16" s="1"/>
      <c r="U16" s="1"/>
      <c r="W16" s="1"/>
      <c r="X16" s="1"/>
      <c r="Y16" s="1"/>
      <c r="Z16" s="1"/>
      <c r="AA16" s="1"/>
      <c r="AB16" s="1"/>
      <c r="AC16" s="1"/>
      <c r="AD16" s="1"/>
    </row>
    <row r="17" spans="1:30" x14ac:dyDescent="0.2">
      <c r="A17" s="1"/>
      <c r="B17" s="1"/>
      <c r="C17" s="5" t="s">
        <v>53</v>
      </c>
      <c r="D17" s="5"/>
      <c r="E17" s="5"/>
      <c r="F17" s="1" t="s">
        <v>7</v>
      </c>
      <c r="G17" s="1"/>
      <c r="H17" s="1" t="s">
        <v>54</v>
      </c>
      <c r="I17" s="1"/>
      <c r="J17" s="1">
        <v>25000</v>
      </c>
      <c r="K17" s="1"/>
      <c r="L17" s="1" t="s">
        <v>52</v>
      </c>
      <c r="M17" s="1"/>
      <c r="N17" s="1"/>
      <c r="O17" s="1"/>
      <c r="P17" s="1">
        <v>724000</v>
      </c>
      <c r="Q17" s="1"/>
      <c r="R17" s="1"/>
      <c r="S17" s="1" t="s">
        <v>34</v>
      </c>
      <c r="T17" s="1"/>
      <c r="U17" s="1"/>
      <c r="W17" s="1"/>
      <c r="X17" s="1"/>
      <c r="Y17" s="1"/>
      <c r="Z17" s="1"/>
      <c r="AA17" s="1"/>
      <c r="AB17" s="1"/>
      <c r="AC17" s="1"/>
      <c r="AD17" s="1"/>
    </row>
    <row r="18" spans="1:30" x14ac:dyDescent="0.2">
      <c r="A18" s="1"/>
      <c r="B18" s="1"/>
      <c r="C18" s="5" t="s">
        <v>39</v>
      </c>
      <c r="D18" s="5"/>
      <c r="E18" s="5"/>
      <c r="F18" s="1" t="s">
        <v>7</v>
      </c>
      <c r="G18" s="1"/>
      <c r="H18" s="1" t="s">
        <v>25</v>
      </c>
      <c r="I18" s="1"/>
      <c r="J18" s="1">
        <v>10000</v>
      </c>
      <c r="K18" s="1"/>
      <c r="L18" s="1" t="s">
        <v>41</v>
      </c>
      <c r="M18" s="1"/>
      <c r="N18" s="1"/>
      <c r="O18" s="1"/>
      <c r="P18" s="1"/>
      <c r="Q18" s="1"/>
      <c r="R18" s="1"/>
      <c r="S18" s="1" t="s">
        <v>34</v>
      </c>
      <c r="T18" s="1"/>
      <c r="U18" s="1"/>
      <c r="W18" s="1"/>
      <c r="X18" s="1"/>
      <c r="Y18" s="1"/>
      <c r="Z18" s="1"/>
      <c r="AA18" s="1"/>
      <c r="AB18" s="1"/>
      <c r="AC18" s="1"/>
      <c r="AD18" s="1"/>
    </row>
    <row r="19" spans="1:30" x14ac:dyDescent="0.2">
      <c r="A19" s="1" t="s">
        <v>55</v>
      </c>
      <c r="B19" s="1"/>
      <c r="C19" s="5" t="s">
        <v>56</v>
      </c>
      <c r="D19" s="5"/>
      <c r="E19" s="5"/>
      <c r="F19" s="1" t="s">
        <v>7</v>
      </c>
      <c r="G19" s="1"/>
      <c r="H19" s="1" t="s">
        <v>25</v>
      </c>
      <c r="I19" s="1"/>
      <c r="J19" s="1">
        <v>21000</v>
      </c>
      <c r="K19" s="1"/>
      <c r="L19" s="1" t="s">
        <v>57</v>
      </c>
      <c r="M19" s="1"/>
      <c r="N19" s="1"/>
      <c r="O19" s="1"/>
      <c r="P19" s="1">
        <v>1000000</v>
      </c>
      <c r="Q19" s="1"/>
      <c r="R19" s="1"/>
      <c r="S19" s="1" t="s">
        <v>34</v>
      </c>
      <c r="T19" s="1"/>
      <c r="U19" s="1"/>
      <c r="W19" s="1"/>
      <c r="X19" s="1"/>
      <c r="Y19" s="1"/>
      <c r="Z19" s="1"/>
      <c r="AA19" s="1"/>
      <c r="AB19" s="1"/>
      <c r="AC19" s="1"/>
      <c r="AD19" s="1"/>
    </row>
    <row r="20" spans="1:30" x14ac:dyDescent="0.2">
      <c r="A20" s="1"/>
      <c r="B20" s="1"/>
      <c r="C20" s="5" t="s">
        <v>58</v>
      </c>
      <c r="D20" s="5"/>
      <c r="E20" s="5"/>
      <c r="F20" s="1" t="s">
        <v>7</v>
      </c>
      <c r="G20" s="1"/>
      <c r="H20" s="1" t="s">
        <v>59</v>
      </c>
      <c r="I20" s="1"/>
      <c r="J20" s="1">
        <v>6000</v>
      </c>
      <c r="K20" s="1"/>
      <c r="L20" s="1" t="s">
        <v>57</v>
      </c>
      <c r="M20" s="1"/>
      <c r="N20" s="1"/>
      <c r="O20" s="1"/>
      <c r="P20" s="1">
        <v>1000000</v>
      </c>
      <c r="Q20" s="1"/>
      <c r="R20" s="1"/>
      <c r="S20" s="1" t="s">
        <v>34</v>
      </c>
      <c r="T20" s="1"/>
      <c r="U20" s="1"/>
      <c r="W20" s="1"/>
      <c r="X20" s="1"/>
      <c r="Y20" s="1"/>
      <c r="Z20" s="1"/>
      <c r="AA20" s="1"/>
      <c r="AB20" s="1"/>
      <c r="AC20" s="1"/>
      <c r="AD20" s="1"/>
    </row>
    <row r="21" spans="1:30" x14ac:dyDescent="0.2">
      <c r="A21" s="1"/>
      <c r="B21" s="1"/>
      <c r="C21" s="5" t="s">
        <v>60</v>
      </c>
      <c r="D21" s="5"/>
      <c r="E21" s="5"/>
      <c r="F21" s="1" t="s">
        <v>7</v>
      </c>
      <c r="G21" s="1"/>
      <c r="H21" s="1" t="s">
        <v>25</v>
      </c>
      <c r="I21" s="1"/>
      <c r="J21" s="1">
        <v>3000</v>
      </c>
      <c r="K21" s="1"/>
      <c r="L21" s="1" t="s">
        <v>61</v>
      </c>
      <c r="M21" s="1"/>
      <c r="N21" s="1"/>
      <c r="O21" s="1"/>
      <c r="P21" s="1"/>
      <c r="Q21" s="1"/>
      <c r="R21" s="1"/>
      <c r="S21" s="1" t="s">
        <v>34</v>
      </c>
      <c r="T21" s="1"/>
      <c r="U21" s="1"/>
      <c r="W21" s="1"/>
      <c r="X21" s="1"/>
      <c r="Y21" s="1"/>
      <c r="Z21" s="1"/>
      <c r="AA21" s="1"/>
      <c r="AB21" s="1"/>
      <c r="AC21" s="1"/>
      <c r="AD21" s="1"/>
    </row>
    <row r="22" spans="1:30" x14ac:dyDescent="0.2">
      <c r="A22" s="1"/>
      <c r="B22" s="1"/>
      <c r="C22" s="5" t="s">
        <v>62</v>
      </c>
      <c r="D22" s="5"/>
      <c r="E22" s="5"/>
      <c r="F22" s="1" t="s">
        <v>7</v>
      </c>
      <c r="G22" s="1"/>
      <c r="H22" s="1" t="s">
        <v>38</v>
      </c>
      <c r="I22" s="1"/>
      <c r="J22" s="1"/>
      <c r="K22" s="1"/>
      <c r="L22" s="7" t="s">
        <v>90</v>
      </c>
      <c r="M22" s="7"/>
      <c r="N22" s="7"/>
      <c r="O22" s="7"/>
      <c r="P22" s="1">
        <v>100000</v>
      </c>
      <c r="Q22" s="1"/>
      <c r="R22" s="1"/>
      <c r="S22" s="1" t="s">
        <v>19</v>
      </c>
      <c r="T22" s="1"/>
      <c r="U22" s="1"/>
      <c r="W22" s="1"/>
      <c r="X22" s="1"/>
      <c r="Y22" s="1"/>
      <c r="Z22" s="1"/>
      <c r="AA22" s="1"/>
      <c r="AB22" s="1"/>
      <c r="AC22" s="1"/>
      <c r="AD22" s="1"/>
    </row>
    <row r="23" spans="1:30" x14ac:dyDescent="0.2">
      <c r="A23" s="1"/>
      <c r="B23" s="1"/>
      <c r="C23" s="5" t="s">
        <v>29</v>
      </c>
      <c r="D23" s="5"/>
      <c r="E23" s="5"/>
      <c r="F23" s="1" t="s">
        <v>7</v>
      </c>
      <c r="G23" s="1"/>
      <c r="H23" s="1" t="s">
        <v>30</v>
      </c>
      <c r="I23" s="1"/>
      <c r="J23" s="1">
        <v>30000</v>
      </c>
      <c r="K23" s="1"/>
      <c r="L23" s="1" t="s">
        <v>31</v>
      </c>
      <c r="M23" s="1"/>
      <c r="N23" s="1"/>
      <c r="O23" s="1"/>
      <c r="P23" s="1"/>
      <c r="Q23" s="1"/>
      <c r="R23" s="1"/>
      <c r="S23" s="1" t="s">
        <v>32</v>
      </c>
      <c r="T23" s="1"/>
      <c r="U23" s="1"/>
      <c r="W23" s="1"/>
      <c r="X23" s="1"/>
      <c r="Y23" s="1"/>
      <c r="Z23" s="1"/>
      <c r="AA23" s="1"/>
      <c r="AB23" s="1"/>
      <c r="AC23" s="1"/>
      <c r="AD23" s="1"/>
    </row>
    <row r="24" spans="1:30" x14ac:dyDescent="0.2">
      <c r="A24" s="1"/>
      <c r="B24" s="1"/>
      <c r="C24" s="5"/>
      <c r="D24" s="5"/>
      <c r="E24" s="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W24" s="1"/>
      <c r="X24" s="1"/>
      <c r="Y24" s="1"/>
      <c r="Z24" s="1"/>
      <c r="AA24" s="1"/>
      <c r="AB24" s="1"/>
      <c r="AC24" s="1"/>
      <c r="AD24" s="1"/>
    </row>
    <row r="25" spans="1:30" x14ac:dyDescent="0.2">
      <c r="A25" s="1"/>
      <c r="B25" s="1"/>
      <c r="C25" s="5"/>
      <c r="D25" s="5"/>
      <c r="E25" s="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W25" s="1"/>
      <c r="X25" s="1"/>
      <c r="Y25" s="1"/>
      <c r="Z25" s="1"/>
      <c r="AA25" s="1"/>
      <c r="AB25" s="1"/>
      <c r="AC25" s="1"/>
      <c r="AD25" s="1"/>
    </row>
    <row r="26" spans="1:30" x14ac:dyDescent="0.2">
      <c r="A26" s="1"/>
      <c r="B26" s="1"/>
      <c r="C26" s="5"/>
      <c r="D26" s="5"/>
      <c r="E26" s="5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W26" s="1"/>
      <c r="X26" s="1"/>
      <c r="Y26" s="1"/>
      <c r="Z26" s="1"/>
      <c r="AA26" s="1"/>
      <c r="AB26" s="1"/>
      <c r="AC26" s="1"/>
      <c r="AD26" s="1"/>
    </row>
    <row r="27" spans="1:30" x14ac:dyDescent="0.2">
      <c r="A27" s="1"/>
      <c r="B27" s="1"/>
      <c r="C27" s="5"/>
      <c r="D27" s="5"/>
      <c r="E27" s="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W27" s="1"/>
      <c r="X27" s="1"/>
      <c r="Y27" s="1"/>
      <c r="Z27" s="1"/>
      <c r="AA27" s="1"/>
      <c r="AB27" s="1"/>
      <c r="AC27" s="1"/>
      <c r="AD27" s="1"/>
    </row>
    <row r="28" spans="1:30" x14ac:dyDescent="0.2">
      <c r="A28" s="1"/>
      <c r="B28" s="1"/>
      <c r="C28" s="5"/>
      <c r="D28" s="5"/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W28" s="1"/>
      <c r="X28" s="1"/>
      <c r="Y28" s="1"/>
      <c r="Z28" s="1"/>
      <c r="AA28" s="1"/>
      <c r="AB28" s="1"/>
      <c r="AC28" s="1"/>
      <c r="AD28" s="1"/>
    </row>
    <row r="29" spans="1:30" x14ac:dyDescent="0.2">
      <c r="A29" s="1"/>
      <c r="B29" s="1"/>
      <c r="C29" s="5"/>
      <c r="D29" s="5"/>
      <c r="E29" s="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W29" s="1"/>
      <c r="X29" s="1"/>
      <c r="Y29" s="1"/>
      <c r="Z29" s="1"/>
      <c r="AA29" s="1"/>
      <c r="AB29" s="1"/>
      <c r="AC29" s="1"/>
      <c r="AD29" s="1"/>
    </row>
    <row r="30" spans="1:30" x14ac:dyDescent="0.2">
      <c r="A30" s="1"/>
      <c r="B30" s="1"/>
      <c r="C30" s="5"/>
      <c r="D30" s="5"/>
      <c r="E30" s="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W30" s="1"/>
      <c r="X30" s="1"/>
      <c r="Y30" s="1"/>
      <c r="Z30" s="1"/>
      <c r="AA30" s="1"/>
      <c r="AB30" s="1"/>
      <c r="AC30" s="1"/>
      <c r="AD30" s="1"/>
    </row>
    <row r="31" spans="1:30" x14ac:dyDescent="0.2">
      <c r="A31" s="1"/>
      <c r="B31" s="1"/>
      <c r="C31" s="5"/>
      <c r="D31" s="5"/>
      <c r="E31" s="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W31" s="1"/>
      <c r="X31" s="1"/>
      <c r="Y31" s="1"/>
      <c r="Z31" s="1"/>
      <c r="AA31" s="1"/>
      <c r="AB31" s="1"/>
      <c r="AC31" s="1"/>
      <c r="AD31" s="1"/>
    </row>
    <row r="32" spans="1:30" x14ac:dyDescent="0.2">
      <c r="A32" s="1"/>
      <c r="B32" s="1"/>
      <c r="C32" s="5"/>
      <c r="D32" s="5"/>
      <c r="E32" s="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W32" s="1"/>
      <c r="X32" s="1"/>
      <c r="Y32" s="1"/>
      <c r="Z32" s="1"/>
      <c r="AA32" s="1"/>
      <c r="AB32" s="1"/>
      <c r="AC32" s="1"/>
      <c r="AD32" s="1"/>
    </row>
    <row r="33" spans="1:30" x14ac:dyDescent="0.2">
      <c r="A33" s="1"/>
      <c r="B33" s="1"/>
      <c r="C33" s="5"/>
      <c r="D33" s="5"/>
      <c r="E33" s="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W33" s="1"/>
      <c r="X33" s="1"/>
      <c r="Y33" s="1"/>
      <c r="Z33" s="1"/>
      <c r="AA33" s="1"/>
      <c r="AB33" s="1"/>
      <c r="AC33" s="1"/>
      <c r="AD33" s="1"/>
    </row>
    <row r="34" spans="1:30" x14ac:dyDescent="0.2">
      <c r="A34" s="1"/>
      <c r="B34" s="1"/>
      <c r="C34" s="5"/>
      <c r="D34" s="5"/>
      <c r="E34" s="5"/>
      <c r="F34" s="1"/>
      <c r="G34" s="1"/>
      <c r="H34" s="1" t="s">
        <v>70</v>
      </c>
      <c r="I34" s="1"/>
      <c r="J34" s="1">
        <f>SUM(J5:J23)</f>
        <v>297000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W34" s="1"/>
      <c r="X34" s="1"/>
      <c r="Y34" s="1">
        <f>SUM(Y5:Z33)</f>
        <v>58000</v>
      </c>
      <c r="Z34" s="1"/>
      <c r="AA34" s="1"/>
      <c r="AB34" s="1"/>
      <c r="AC34" s="1">
        <f>SUM(AC5:AD33)</f>
        <v>0</v>
      </c>
      <c r="AD34" s="1"/>
    </row>
    <row r="35" spans="1:30" x14ac:dyDescent="0.2">
      <c r="A35" s="1"/>
      <c r="B35" s="1"/>
      <c r="C35" s="5"/>
      <c r="D35" s="5"/>
      <c r="E35" s="5"/>
      <c r="F35" s="1"/>
      <c r="G35" s="1"/>
      <c r="H35" s="1" t="s">
        <v>71</v>
      </c>
      <c r="I35" s="1"/>
      <c r="J35" s="1">
        <f>AA36</f>
        <v>58000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W35" s="1"/>
      <c r="X35" s="1"/>
      <c r="Y35" s="1"/>
      <c r="Z35" s="1"/>
      <c r="AA35" s="1"/>
      <c r="AB35" s="1"/>
      <c r="AC35" s="1"/>
      <c r="AD35" s="1"/>
    </row>
    <row r="36" spans="1:30" x14ac:dyDescent="0.2">
      <c r="A36" s="1"/>
      <c r="B36" s="1"/>
      <c r="C36" s="5"/>
      <c r="D36" s="5"/>
      <c r="E36" s="5"/>
      <c r="F36" s="1"/>
      <c r="G36" s="1"/>
      <c r="H36" s="1" t="s">
        <v>72</v>
      </c>
      <c r="I36" s="1"/>
      <c r="J36" s="1">
        <f>J35-J34</f>
        <v>-239000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W36" s="1" t="s">
        <v>69</v>
      </c>
      <c r="X36" s="1"/>
      <c r="Y36" s="1"/>
      <c r="Z36" s="1"/>
      <c r="AA36" s="1">
        <f>Y34+AC34</f>
        <v>58000</v>
      </c>
      <c r="AB36" s="1"/>
      <c r="AC36" s="1"/>
      <c r="AD36" s="1"/>
    </row>
    <row r="37" spans="1:30" x14ac:dyDescent="0.2">
      <c r="A37" s="1"/>
      <c r="B37" s="1"/>
      <c r="C37" s="5"/>
      <c r="D37" s="5"/>
      <c r="E37" s="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9" spans="1:30" x14ac:dyDescent="0.2">
      <c r="D39" s="1" t="s">
        <v>77</v>
      </c>
      <c r="E39" s="1"/>
      <c r="F39" s="1"/>
      <c r="G39" s="1"/>
      <c r="H39" s="1"/>
      <c r="I39" s="1"/>
      <c r="J39" s="1" t="s">
        <v>78</v>
      </c>
      <c r="K39" s="1"/>
      <c r="L39" s="1"/>
      <c r="M39" s="1"/>
      <c r="N39" s="1"/>
      <c r="O39" s="1"/>
      <c r="P39" s="1" t="s">
        <v>64</v>
      </c>
      <c r="Q39" s="1"/>
      <c r="R39" t="s">
        <v>84</v>
      </c>
    </row>
    <row r="40" spans="1:30" x14ac:dyDescent="0.2">
      <c r="D40" s="1"/>
      <c r="E40" s="1"/>
      <c r="F40" s="1"/>
      <c r="G40" s="1"/>
      <c r="H40" s="1"/>
      <c r="I40" s="1"/>
      <c r="K40" s="1"/>
      <c r="L40" s="1"/>
      <c r="M40" s="1"/>
      <c r="N40" s="1"/>
      <c r="O40" s="1"/>
      <c r="P40" s="1"/>
      <c r="Q40" s="1"/>
    </row>
    <row r="41" spans="1:30" x14ac:dyDescent="0.2">
      <c r="C41">
        <v>1</v>
      </c>
      <c r="D41" s="1"/>
      <c r="E41" s="1"/>
      <c r="F41" s="1"/>
      <c r="G41" s="1"/>
      <c r="H41" s="1"/>
      <c r="I41" s="1"/>
      <c r="K41" s="1"/>
      <c r="L41" s="1"/>
      <c r="M41" s="1"/>
      <c r="N41" s="1"/>
      <c r="O41" s="1"/>
      <c r="P41" s="1"/>
      <c r="Q41" s="1"/>
    </row>
    <row r="42" spans="1:30" x14ac:dyDescent="0.2">
      <c r="C42">
        <v>2</v>
      </c>
      <c r="D42" s="1"/>
      <c r="E42" s="1"/>
      <c r="F42" s="1"/>
      <c r="G42" s="1"/>
      <c r="H42" s="1"/>
      <c r="I42" s="1"/>
      <c r="K42" s="1"/>
      <c r="L42" s="1"/>
      <c r="M42" s="1"/>
      <c r="N42" s="1"/>
      <c r="O42" s="1"/>
      <c r="P42" s="1"/>
      <c r="Q42" s="1"/>
    </row>
    <row r="43" spans="1:30" x14ac:dyDescent="0.2">
      <c r="C43">
        <v>3</v>
      </c>
      <c r="D43" s="1"/>
      <c r="E43" s="1"/>
      <c r="F43" s="1"/>
      <c r="G43" s="1"/>
      <c r="H43" s="1"/>
      <c r="I43" s="1"/>
      <c r="K43" s="1"/>
      <c r="L43" s="1"/>
      <c r="M43" s="1"/>
      <c r="N43" s="1"/>
      <c r="O43" s="1"/>
      <c r="P43" s="1"/>
      <c r="Q43" s="1"/>
    </row>
    <row r="44" spans="1:30" x14ac:dyDescent="0.2">
      <c r="D44" s="1"/>
      <c r="E44" s="1"/>
      <c r="F44" s="1"/>
      <c r="G44" s="1"/>
      <c r="H44" s="1"/>
      <c r="I44" s="1"/>
      <c r="K44" s="1"/>
      <c r="L44" s="1"/>
      <c r="M44" s="1"/>
      <c r="N44" s="1"/>
      <c r="O44" s="1"/>
      <c r="P44" s="1"/>
      <c r="Q44" s="1"/>
    </row>
    <row r="45" spans="1:30" x14ac:dyDescent="0.2">
      <c r="D45" s="1"/>
      <c r="E45" s="1"/>
      <c r="F45" s="1"/>
      <c r="G45" s="1"/>
      <c r="H45" s="1"/>
      <c r="I45" s="1"/>
      <c r="K45" s="1"/>
      <c r="L45" s="1"/>
      <c r="M45" s="1"/>
      <c r="N45" s="1"/>
      <c r="O45" s="1"/>
      <c r="P45" s="1"/>
      <c r="Q45" s="1"/>
    </row>
    <row r="46" spans="1:30" x14ac:dyDescent="0.2">
      <c r="D46" s="1"/>
      <c r="E46" s="1"/>
      <c r="F46" s="1"/>
      <c r="G46" s="1"/>
      <c r="H46" s="1"/>
      <c r="I46" s="1"/>
      <c r="K46" s="1"/>
      <c r="L46" s="1"/>
      <c r="M46" s="1"/>
      <c r="N46" s="1"/>
      <c r="O46" s="1"/>
      <c r="P46" s="1"/>
      <c r="Q46" s="1"/>
    </row>
    <row r="47" spans="1:30" x14ac:dyDescent="0.2">
      <c r="D47" s="1"/>
      <c r="E47" s="1"/>
      <c r="F47" s="1"/>
      <c r="G47" s="1"/>
      <c r="H47" s="1"/>
      <c r="I47" s="1"/>
      <c r="K47" s="1"/>
      <c r="L47" s="1"/>
      <c r="M47" s="1"/>
      <c r="N47" s="1"/>
      <c r="O47" s="1"/>
      <c r="P47" s="1"/>
      <c r="Q47" s="1"/>
    </row>
    <row r="48" spans="1:30" x14ac:dyDescent="0.2">
      <c r="D48" s="1"/>
      <c r="E48" s="1"/>
      <c r="F48" s="1"/>
      <c r="G48" s="1"/>
      <c r="H48" s="1"/>
      <c r="I48" s="1"/>
      <c r="K48" s="1"/>
      <c r="L48" s="1"/>
      <c r="M48" s="1"/>
      <c r="N48" s="1"/>
      <c r="O48" s="1"/>
      <c r="P48" s="1"/>
      <c r="Q48" s="1"/>
    </row>
    <row r="49" spans="4:18" x14ac:dyDescent="0.2">
      <c r="D49" s="1"/>
      <c r="E49" s="1"/>
      <c r="F49" s="1"/>
      <c r="G49" s="1"/>
      <c r="H49" s="1"/>
      <c r="I49" s="1"/>
      <c r="K49" s="1"/>
      <c r="L49" s="1"/>
      <c r="M49" s="1"/>
      <c r="N49" s="1"/>
      <c r="O49" s="1"/>
    </row>
    <row r="50" spans="4:18" x14ac:dyDescent="0.2">
      <c r="D50" s="1"/>
      <c r="E50" s="1"/>
      <c r="F50" s="1"/>
      <c r="G50" s="1"/>
      <c r="H50" s="1"/>
      <c r="I50" s="1"/>
      <c r="K50" s="1"/>
      <c r="L50" s="1"/>
      <c r="M50" s="1"/>
      <c r="N50" s="1"/>
      <c r="O50" s="1"/>
      <c r="P50" s="1"/>
      <c r="Q50" s="1"/>
    </row>
    <row r="51" spans="4:18" x14ac:dyDescent="0.2">
      <c r="D51" s="1"/>
      <c r="E51" s="1"/>
      <c r="F51" s="1"/>
      <c r="G51" s="1"/>
      <c r="H51" s="1"/>
      <c r="I51" s="1"/>
      <c r="K51" s="1"/>
      <c r="L51" s="1"/>
      <c r="M51" s="1"/>
      <c r="N51" s="1"/>
      <c r="O51" s="1"/>
      <c r="P51" s="3" t="s">
        <v>89</v>
      </c>
      <c r="Q51" s="3"/>
      <c r="R51">
        <f>J36-R50</f>
        <v>-239000</v>
      </c>
    </row>
    <row r="52" spans="4:18" x14ac:dyDescent="0.2">
      <c r="D52" s="1"/>
      <c r="E52" s="1"/>
      <c r="F52" s="1"/>
      <c r="G52" s="1"/>
      <c r="H52" s="1"/>
      <c r="I52" s="1"/>
      <c r="K52" s="1"/>
      <c r="L52" s="1"/>
      <c r="M52" s="1"/>
      <c r="N52" s="1"/>
      <c r="O52" s="1"/>
      <c r="P52" s="1"/>
      <c r="Q52" s="1"/>
    </row>
    <row r="53" spans="4:18" x14ac:dyDescent="0.2">
      <c r="D53" s="1"/>
      <c r="E53" s="1"/>
      <c r="F53" s="1"/>
      <c r="G53" s="1"/>
      <c r="H53" s="1"/>
      <c r="I53" s="1"/>
      <c r="K53" s="1"/>
      <c r="L53" s="1"/>
      <c r="M53" s="1"/>
      <c r="N53" s="1"/>
      <c r="O53" s="1"/>
      <c r="P53" s="1"/>
      <c r="Q53" s="1"/>
    </row>
    <row r="54" spans="4:18" x14ac:dyDescent="0.2">
      <c r="D54" s="1"/>
      <c r="E54" s="1"/>
      <c r="F54" s="1"/>
      <c r="G54" s="1"/>
      <c r="H54" s="1"/>
      <c r="I54" s="1"/>
      <c r="K54" s="1"/>
      <c r="L54" s="1"/>
      <c r="M54" s="1"/>
      <c r="N54" s="1"/>
      <c r="O54" s="1"/>
      <c r="P54" s="1"/>
      <c r="Q54" s="1"/>
    </row>
  </sheetData>
  <mergeCells count="456">
    <mergeCell ref="D54:I54"/>
    <mergeCell ref="K54:O54"/>
    <mergeCell ref="P54:Q54"/>
    <mergeCell ref="D52:I52"/>
    <mergeCell ref="K52:O52"/>
    <mergeCell ref="P52:Q52"/>
    <mergeCell ref="D53:I53"/>
    <mergeCell ref="K53:O53"/>
    <mergeCell ref="P53:Q53"/>
    <mergeCell ref="D50:I50"/>
    <mergeCell ref="K50:O50"/>
    <mergeCell ref="P50:Q50"/>
    <mergeCell ref="D51:I51"/>
    <mergeCell ref="K51:O51"/>
    <mergeCell ref="D48:I48"/>
    <mergeCell ref="K48:O48"/>
    <mergeCell ref="P48:Q48"/>
    <mergeCell ref="D49:I49"/>
    <mergeCell ref="K49:O49"/>
    <mergeCell ref="P51:Q51"/>
    <mergeCell ref="D46:I46"/>
    <mergeCell ref="K46:O46"/>
    <mergeCell ref="P46:Q46"/>
    <mergeCell ref="D47:I47"/>
    <mergeCell ref="K47:O47"/>
    <mergeCell ref="P47:Q47"/>
    <mergeCell ref="D44:I44"/>
    <mergeCell ref="K44:O44"/>
    <mergeCell ref="P44:Q44"/>
    <mergeCell ref="D45:I45"/>
    <mergeCell ref="K45:O45"/>
    <mergeCell ref="P45:Q45"/>
    <mergeCell ref="D43:I43"/>
    <mergeCell ref="K43:O43"/>
    <mergeCell ref="P43:Q43"/>
    <mergeCell ref="D40:I40"/>
    <mergeCell ref="K40:O40"/>
    <mergeCell ref="P40:Q40"/>
    <mergeCell ref="D41:I41"/>
    <mergeCell ref="K41:O41"/>
    <mergeCell ref="P41:Q41"/>
    <mergeCell ref="D39:I39"/>
    <mergeCell ref="J39:O39"/>
    <mergeCell ref="P39:Q39"/>
    <mergeCell ref="P36:R36"/>
    <mergeCell ref="S36:U36"/>
    <mergeCell ref="W36:Z36"/>
    <mergeCell ref="D42:I42"/>
    <mergeCell ref="K42:O42"/>
    <mergeCell ref="P42:Q42"/>
    <mergeCell ref="AA36:AB36"/>
    <mergeCell ref="AC36:AD36"/>
    <mergeCell ref="A37:B37"/>
    <mergeCell ref="C37:E37"/>
    <mergeCell ref="F37:G37"/>
    <mergeCell ref="H37:I37"/>
    <mergeCell ref="J37:K37"/>
    <mergeCell ref="A36:B36"/>
    <mergeCell ref="C36:E36"/>
    <mergeCell ref="F36:G36"/>
    <mergeCell ref="H36:I36"/>
    <mergeCell ref="J36:K36"/>
    <mergeCell ref="L36:O36"/>
    <mergeCell ref="L37:O37"/>
    <mergeCell ref="P37:R37"/>
    <mergeCell ref="S37:U37"/>
    <mergeCell ref="P35:R35"/>
    <mergeCell ref="S35:U35"/>
    <mergeCell ref="W35:X35"/>
    <mergeCell ref="Y35:Z35"/>
    <mergeCell ref="AA35:AB35"/>
    <mergeCell ref="AC35:AD35"/>
    <mergeCell ref="A35:B35"/>
    <mergeCell ref="C35:E35"/>
    <mergeCell ref="F35:G35"/>
    <mergeCell ref="H35:I35"/>
    <mergeCell ref="J35:K35"/>
    <mergeCell ref="L35:O35"/>
    <mergeCell ref="P34:R34"/>
    <mergeCell ref="S34:U34"/>
    <mergeCell ref="W34:X34"/>
    <mergeCell ref="Y34:Z34"/>
    <mergeCell ref="AA34:AB34"/>
    <mergeCell ref="AC34:AD34"/>
    <mergeCell ref="A34:B34"/>
    <mergeCell ref="C34:E34"/>
    <mergeCell ref="F34:G34"/>
    <mergeCell ref="H34:I34"/>
    <mergeCell ref="J34:K34"/>
    <mergeCell ref="L34:O34"/>
    <mergeCell ref="P33:R33"/>
    <mergeCell ref="S33:U33"/>
    <mergeCell ref="W33:X33"/>
    <mergeCell ref="Y33:Z33"/>
    <mergeCell ref="AA33:AB33"/>
    <mergeCell ref="AC33:AD33"/>
    <mergeCell ref="A33:B33"/>
    <mergeCell ref="C33:E33"/>
    <mergeCell ref="F33:G33"/>
    <mergeCell ref="H33:I33"/>
    <mergeCell ref="J33:K33"/>
    <mergeCell ref="L33:O33"/>
    <mergeCell ref="P32:R32"/>
    <mergeCell ref="S32:U32"/>
    <mergeCell ref="W32:X32"/>
    <mergeCell ref="Y32:Z32"/>
    <mergeCell ref="AA32:AB32"/>
    <mergeCell ref="AC32:AD32"/>
    <mergeCell ref="A32:B32"/>
    <mergeCell ref="C32:E32"/>
    <mergeCell ref="F32:G32"/>
    <mergeCell ref="H32:I32"/>
    <mergeCell ref="J32:K32"/>
    <mergeCell ref="L32:O32"/>
    <mergeCell ref="P31:R31"/>
    <mergeCell ref="S31:U31"/>
    <mergeCell ref="W31:X31"/>
    <mergeCell ref="Y31:Z31"/>
    <mergeCell ref="AA31:AB31"/>
    <mergeCell ref="AC31:AD31"/>
    <mergeCell ref="A31:B31"/>
    <mergeCell ref="C31:E31"/>
    <mergeCell ref="F31:G31"/>
    <mergeCell ref="H31:I31"/>
    <mergeCell ref="J31:K31"/>
    <mergeCell ref="L31:O31"/>
    <mergeCell ref="P30:R30"/>
    <mergeCell ref="S30:U30"/>
    <mergeCell ref="W30:X30"/>
    <mergeCell ref="Y30:Z30"/>
    <mergeCell ref="AA30:AB30"/>
    <mergeCell ref="AC30:AD30"/>
    <mergeCell ref="A30:B30"/>
    <mergeCell ref="C30:E30"/>
    <mergeCell ref="F30:G30"/>
    <mergeCell ref="H30:I30"/>
    <mergeCell ref="J30:K30"/>
    <mergeCell ref="L30:O30"/>
    <mergeCell ref="P29:R29"/>
    <mergeCell ref="S29:U29"/>
    <mergeCell ref="W29:X29"/>
    <mergeCell ref="Y29:Z29"/>
    <mergeCell ref="AA29:AB29"/>
    <mergeCell ref="AC29:AD29"/>
    <mergeCell ref="A29:B29"/>
    <mergeCell ref="C29:E29"/>
    <mergeCell ref="F29:G29"/>
    <mergeCell ref="H29:I29"/>
    <mergeCell ref="J29:K29"/>
    <mergeCell ref="L29:O29"/>
    <mergeCell ref="P28:R28"/>
    <mergeCell ref="S28:U28"/>
    <mergeCell ref="W28:X28"/>
    <mergeCell ref="Y28:Z28"/>
    <mergeCell ref="AA28:AB28"/>
    <mergeCell ref="AC28:AD28"/>
    <mergeCell ref="A28:B28"/>
    <mergeCell ref="C28:E28"/>
    <mergeCell ref="F28:G28"/>
    <mergeCell ref="H28:I28"/>
    <mergeCell ref="J28:K28"/>
    <mergeCell ref="L28:O28"/>
    <mergeCell ref="P27:R27"/>
    <mergeCell ref="S27:U27"/>
    <mergeCell ref="W27:X27"/>
    <mergeCell ref="Y27:Z27"/>
    <mergeCell ref="AA27:AB27"/>
    <mergeCell ref="AC27:AD27"/>
    <mergeCell ref="A27:B27"/>
    <mergeCell ref="C27:E27"/>
    <mergeCell ref="F27:G27"/>
    <mergeCell ref="H27:I27"/>
    <mergeCell ref="J27:K27"/>
    <mergeCell ref="L27:O27"/>
    <mergeCell ref="P26:R26"/>
    <mergeCell ref="S26:U26"/>
    <mergeCell ref="W26:X26"/>
    <mergeCell ref="Y26:Z26"/>
    <mergeCell ref="AA26:AB26"/>
    <mergeCell ref="AC26:AD26"/>
    <mergeCell ref="A26:B26"/>
    <mergeCell ref="C26:E26"/>
    <mergeCell ref="F26:G26"/>
    <mergeCell ref="H26:I26"/>
    <mergeCell ref="J26:K26"/>
    <mergeCell ref="L26:O26"/>
    <mergeCell ref="P25:R25"/>
    <mergeCell ref="S25:U25"/>
    <mergeCell ref="W25:X25"/>
    <mergeCell ref="Y25:Z25"/>
    <mergeCell ref="AA25:AB25"/>
    <mergeCell ref="AC25:AD25"/>
    <mergeCell ref="A25:B25"/>
    <mergeCell ref="C25:E25"/>
    <mergeCell ref="F25:G25"/>
    <mergeCell ref="H25:I25"/>
    <mergeCell ref="J25:K25"/>
    <mergeCell ref="L25:O25"/>
    <mergeCell ref="P24:R24"/>
    <mergeCell ref="S24:U24"/>
    <mergeCell ref="W24:X24"/>
    <mergeCell ref="Y24:Z24"/>
    <mergeCell ref="AA24:AB24"/>
    <mergeCell ref="AC24:AD24"/>
    <mergeCell ref="A24:B24"/>
    <mergeCell ref="C24:E24"/>
    <mergeCell ref="F24:G24"/>
    <mergeCell ref="H24:I24"/>
    <mergeCell ref="J24:K24"/>
    <mergeCell ref="L24:O24"/>
    <mergeCell ref="P23:R23"/>
    <mergeCell ref="S23:U23"/>
    <mergeCell ref="W23:X23"/>
    <mergeCell ref="Y23:Z23"/>
    <mergeCell ref="AA23:AB23"/>
    <mergeCell ref="AC23:AD23"/>
    <mergeCell ref="A23:B23"/>
    <mergeCell ref="C23:E23"/>
    <mergeCell ref="F23:G23"/>
    <mergeCell ref="H23:I23"/>
    <mergeCell ref="J23:K23"/>
    <mergeCell ref="L23:O23"/>
    <mergeCell ref="P22:R22"/>
    <mergeCell ref="S22:U22"/>
    <mergeCell ref="W22:X22"/>
    <mergeCell ref="Y22:Z22"/>
    <mergeCell ref="AA22:AB22"/>
    <mergeCell ref="AC22:AD22"/>
    <mergeCell ref="A22:B22"/>
    <mergeCell ref="C22:E22"/>
    <mergeCell ref="F22:G22"/>
    <mergeCell ref="H22:I22"/>
    <mergeCell ref="J22:K22"/>
    <mergeCell ref="L22:O22"/>
    <mergeCell ref="P21:R21"/>
    <mergeCell ref="S21:U21"/>
    <mergeCell ref="W21:X21"/>
    <mergeCell ref="Y21:Z21"/>
    <mergeCell ref="AA21:AB21"/>
    <mergeCell ref="AC21:AD21"/>
    <mergeCell ref="A21:B21"/>
    <mergeCell ref="C21:E21"/>
    <mergeCell ref="F21:G21"/>
    <mergeCell ref="H21:I21"/>
    <mergeCell ref="J21:K21"/>
    <mergeCell ref="L21:O21"/>
    <mergeCell ref="P20:R20"/>
    <mergeCell ref="S20:U20"/>
    <mergeCell ref="W20:X20"/>
    <mergeCell ref="Y20:Z20"/>
    <mergeCell ref="AA20:AB20"/>
    <mergeCell ref="AC20:AD20"/>
    <mergeCell ref="A20:B20"/>
    <mergeCell ref="C20:E20"/>
    <mergeCell ref="F20:G20"/>
    <mergeCell ref="H20:I20"/>
    <mergeCell ref="J20:K20"/>
    <mergeCell ref="L20:O20"/>
    <mergeCell ref="P19:R19"/>
    <mergeCell ref="S19:U19"/>
    <mergeCell ref="W19:X19"/>
    <mergeCell ref="Y19:Z19"/>
    <mergeCell ref="AA19:AB19"/>
    <mergeCell ref="AC19:AD19"/>
    <mergeCell ref="A19:B19"/>
    <mergeCell ref="C19:E19"/>
    <mergeCell ref="F19:G19"/>
    <mergeCell ref="H19:I19"/>
    <mergeCell ref="J19:K19"/>
    <mergeCell ref="L19:O19"/>
    <mergeCell ref="P18:R18"/>
    <mergeCell ref="S18:U18"/>
    <mergeCell ref="W18:X18"/>
    <mergeCell ref="Y18:Z18"/>
    <mergeCell ref="AA18:AB18"/>
    <mergeCell ref="AC18:AD18"/>
    <mergeCell ref="A18:B18"/>
    <mergeCell ref="C18:E18"/>
    <mergeCell ref="F18:G18"/>
    <mergeCell ref="H18:I18"/>
    <mergeCell ref="J18:K18"/>
    <mergeCell ref="L18:O18"/>
    <mergeCell ref="P17:R17"/>
    <mergeCell ref="S17:U17"/>
    <mergeCell ref="W17:X17"/>
    <mergeCell ref="Y17:Z17"/>
    <mergeCell ref="AA17:AB17"/>
    <mergeCell ref="AC17:AD17"/>
    <mergeCell ref="A17:B17"/>
    <mergeCell ref="C17:E17"/>
    <mergeCell ref="F17:G17"/>
    <mergeCell ref="H17:I17"/>
    <mergeCell ref="J17:K17"/>
    <mergeCell ref="L17:O17"/>
    <mergeCell ref="P16:R16"/>
    <mergeCell ref="S16:U16"/>
    <mergeCell ref="W16:X16"/>
    <mergeCell ref="Y16:Z16"/>
    <mergeCell ref="AA16:AB16"/>
    <mergeCell ref="AC16:AD16"/>
    <mergeCell ref="A16:B16"/>
    <mergeCell ref="C16:E16"/>
    <mergeCell ref="F16:G16"/>
    <mergeCell ref="H16:I16"/>
    <mergeCell ref="J16:K16"/>
    <mergeCell ref="L16:O16"/>
    <mergeCell ref="P15:R15"/>
    <mergeCell ref="S15:U15"/>
    <mergeCell ref="W15:X15"/>
    <mergeCell ref="Y15:Z15"/>
    <mergeCell ref="AA15:AB15"/>
    <mergeCell ref="AC15:AD15"/>
    <mergeCell ref="A15:B15"/>
    <mergeCell ref="C15:E15"/>
    <mergeCell ref="F15:G15"/>
    <mergeCell ref="H15:I15"/>
    <mergeCell ref="J15:K15"/>
    <mergeCell ref="L15:O15"/>
    <mergeCell ref="P14:R14"/>
    <mergeCell ref="S14:U14"/>
    <mergeCell ref="W14:X14"/>
    <mergeCell ref="Y14:Z14"/>
    <mergeCell ref="AA14:AB14"/>
    <mergeCell ref="AC14:AD14"/>
    <mergeCell ref="A14:B14"/>
    <mergeCell ref="C14:E14"/>
    <mergeCell ref="F14:G14"/>
    <mergeCell ref="H14:I14"/>
    <mergeCell ref="J14:K14"/>
    <mergeCell ref="L14:O14"/>
    <mergeCell ref="P13:R13"/>
    <mergeCell ref="S13:U13"/>
    <mergeCell ref="W13:X13"/>
    <mergeCell ref="Y13:Z13"/>
    <mergeCell ref="AA13:AB13"/>
    <mergeCell ref="AC13:AD13"/>
    <mergeCell ref="A13:B13"/>
    <mergeCell ref="C13:E13"/>
    <mergeCell ref="F13:G13"/>
    <mergeCell ref="H13:I13"/>
    <mergeCell ref="J13:K13"/>
    <mergeCell ref="L13:O13"/>
    <mergeCell ref="P12:R12"/>
    <mergeCell ref="S12:U12"/>
    <mergeCell ref="W12:X12"/>
    <mergeCell ref="Y12:Z12"/>
    <mergeCell ref="AA12:AB12"/>
    <mergeCell ref="AC12:AD12"/>
    <mergeCell ref="A12:B12"/>
    <mergeCell ref="C12:E12"/>
    <mergeCell ref="F12:G12"/>
    <mergeCell ref="H12:I12"/>
    <mergeCell ref="J12:K12"/>
    <mergeCell ref="L12:O12"/>
    <mergeCell ref="P11:R11"/>
    <mergeCell ref="S11:U11"/>
    <mergeCell ref="W11:X11"/>
    <mergeCell ref="Y11:Z11"/>
    <mergeCell ref="AA11:AB11"/>
    <mergeCell ref="AC11:AD11"/>
    <mergeCell ref="A11:B11"/>
    <mergeCell ref="C11:E11"/>
    <mergeCell ref="F11:G11"/>
    <mergeCell ref="H11:I11"/>
    <mergeCell ref="J11:K11"/>
    <mergeCell ref="L11:O11"/>
    <mergeCell ref="P10:R10"/>
    <mergeCell ref="S10:U10"/>
    <mergeCell ref="W10:X10"/>
    <mergeCell ref="Y10:Z10"/>
    <mergeCell ref="AA10:AB10"/>
    <mergeCell ref="AC10:AD10"/>
    <mergeCell ref="A10:B10"/>
    <mergeCell ref="C10:E10"/>
    <mergeCell ref="F10:G10"/>
    <mergeCell ref="H10:I10"/>
    <mergeCell ref="J10:K10"/>
    <mergeCell ref="L10:O10"/>
    <mergeCell ref="P9:R9"/>
    <mergeCell ref="S9:U9"/>
    <mergeCell ref="W9:X9"/>
    <mergeCell ref="Y9:Z9"/>
    <mergeCell ref="AA9:AB9"/>
    <mergeCell ref="AC9:AD9"/>
    <mergeCell ref="A9:B9"/>
    <mergeCell ref="C9:E9"/>
    <mergeCell ref="F9:G9"/>
    <mergeCell ref="H9:I9"/>
    <mergeCell ref="J9:K9"/>
    <mergeCell ref="L9:O9"/>
    <mergeCell ref="P8:R8"/>
    <mergeCell ref="S8:U8"/>
    <mergeCell ref="W8:X8"/>
    <mergeCell ref="Y8:Z8"/>
    <mergeCell ref="AA8:AB8"/>
    <mergeCell ref="AC8:AD8"/>
    <mergeCell ref="A8:B8"/>
    <mergeCell ref="C8:E8"/>
    <mergeCell ref="F8:G8"/>
    <mergeCell ref="H8:I8"/>
    <mergeCell ref="J8:K8"/>
    <mergeCell ref="L8:O8"/>
    <mergeCell ref="P7:R7"/>
    <mergeCell ref="S7:U7"/>
    <mergeCell ref="W7:X7"/>
    <mergeCell ref="Y7:Z7"/>
    <mergeCell ref="AA7:AB7"/>
    <mergeCell ref="AC7:AD7"/>
    <mergeCell ref="A7:B7"/>
    <mergeCell ref="C7:E7"/>
    <mergeCell ref="F7:G7"/>
    <mergeCell ref="H7:I7"/>
    <mergeCell ref="J7:K7"/>
    <mergeCell ref="L7:O7"/>
    <mergeCell ref="Y6:Z6"/>
    <mergeCell ref="AA6:AB6"/>
    <mergeCell ref="AC6:AD6"/>
    <mergeCell ref="A6:B6"/>
    <mergeCell ref="C6:E6"/>
    <mergeCell ref="F6:G6"/>
    <mergeCell ref="H6:I6"/>
    <mergeCell ref="J6:K6"/>
    <mergeCell ref="L6:O6"/>
    <mergeCell ref="A5:B5"/>
    <mergeCell ref="C5:E5"/>
    <mergeCell ref="F5:G5"/>
    <mergeCell ref="H5:I5"/>
    <mergeCell ref="J5:K5"/>
    <mergeCell ref="L5:O5"/>
    <mergeCell ref="P6:R6"/>
    <mergeCell ref="S6:U6"/>
    <mergeCell ref="W6:X6"/>
    <mergeCell ref="W4:X4"/>
    <mergeCell ref="Y4:Z4"/>
    <mergeCell ref="AA4:AB4"/>
    <mergeCell ref="AC4:AD4"/>
    <mergeCell ref="AH4:AI4"/>
    <mergeCell ref="AJ4:AL5"/>
    <mergeCell ref="AF5:AG5"/>
    <mergeCell ref="AH5:AI5"/>
    <mergeCell ref="A1:AC3"/>
    <mergeCell ref="AF3:AH3"/>
    <mergeCell ref="A4:B4"/>
    <mergeCell ref="C4:E4"/>
    <mergeCell ref="F4:G4"/>
    <mergeCell ref="H4:I4"/>
    <mergeCell ref="J4:K4"/>
    <mergeCell ref="L4:O4"/>
    <mergeCell ref="P4:R4"/>
    <mergeCell ref="S4:U4"/>
    <mergeCell ref="P5:R5"/>
    <mergeCell ref="S5:U5"/>
    <mergeCell ref="W5:X5"/>
    <mergeCell ref="Y5:Z5"/>
    <mergeCell ref="AA5:AB5"/>
    <mergeCell ref="AC5:AD5"/>
  </mergeCells>
  <conditionalFormatting sqref="J36:K36">
    <cfRule type="colorScale" priority="4">
      <colorScale>
        <cfvo type="num" val="0"/>
        <cfvo type="max"/>
        <color rgb="FFFF7128"/>
        <color theme="9"/>
      </colorScale>
    </cfRule>
    <cfRule type="colorScale" priority="5">
      <colorScale>
        <cfvo type="formula" val="$J$361&lt;0"/>
        <cfvo type="max"/>
        <color rgb="FFFF7128"/>
        <color theme="9"/>
      </colorScale>
    </cfRule>
    <cfRule type="colorScale" priority="6">
      <colorScale>
        <cfvo type="num" val="0"/>
        <cfvo type="max"/>
        <color theme="9"/>
        <color rgb="FFFFEF9C"/>
      </colorScale>
    </cfRule>
  </conditionalFormatting>
  <conditionalFormatting sqref="R51">
    <cfRule type="colorScale" priority="2">
      <colorScale>
        <cfvo type="formula" val=" $A$37 &lt; $R$51"/>
        <cfvo type="max"/>
        <color rgb="FFFF7128"/>
        <color rgb="FFFFEF9C"/>
      </colorScale>
    </cfRule>
    <cfRule type="colorScale" priority="3">
      <colorScale>
        <cfvo type="formula" val=" $A$37 &lt; $R$51"/>
        <cfvo type="max"/>
        <color rgb="FFFF7128"/>
        <color rgb="FFFFEF9C"/>
      </colorScale>
    </cfRule>
  </conditionalFormatting>
  <conditionalFormatting sqref="S49">
    <cfRule type="colorScale" priority="16">
      <colorScale>
        <cfvo type="min"/>
        <cfvo type="formula" val="$A$37 &gt;= $R$51"/>
        <color rgb="FFFF7128"/>
        <color rgb="FFFFEF9C"/>
      </colorScale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80C55-6745-FF49-8373-631581424862}">
  <dimension ref="A1:AL54"/>
  <sheetViews>
    <sheetView workbookViewId="0">
      <selection activeCell="Y8" sqref="Y8:Z8"/>
    </sheetView>
  </sheetViews>
  <sheetFormatPr baseColWidth="10" defaultRowHeight="16" x14ac:dyDescent="0.2"/>
  <sheetData>
    <row r="1" spans="1:38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38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38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F3" s="1" t="s">
        <v>74</v>
      </c>
      <c r="AG3" s="1"/>
      <c r="AH3" s="1"/>
    </row>
    <row r="4" spans="1:38" x14ac:dyDescent="0.2">
      <c r="A4" s="1" t="s">
        <v>1</v>
      </c>
      <c r="B4" s="1"/>
      <c r="C4" s="5" t="s">
        <v>2</v>
      </c>
      <c r="D4" s="5"/>
      <c r="E4" s="5"/>
      <c r="F4" s="1" t="s">
        <v>3</v>
      </c>
      <c r="G4" s="1"/>
      <c r="H4" s="1" t="s">
        <v>14</v>
      </c>
      <c r="I4" s="1"/>
      <c r="J4" s="1" t="s">
        <v>10</v>
      </c>
      <c r="K4" s="1"/>
      <c r="L4" s="1" t="s">
        <v>5</v>
      </c>
      <c r="M4" s="1"/>
      <c r="N4" s="1"/>
      <c r="O4" s="1"/>
      <c r="P4" s="1" t="s">
        <v>17</v>
      </c>
      <c r="Q4" s="1"/>
      <c r="R4" s="1"/>
      <c r="S4" s="1" t="s">
        <v>16</v>
      </c>
      <c r="T4" s="1"/>
      <c r="U4" s="1"/>
      <c r="W4" s="1" t="s">
        <v>63</v>
      </c>
      <c r="X4" s="1"/>
      <c r="Y4" s="1" t="s">
        <v>4</v>
      </c>
      <c r="Z4" s="1"/>
      <c r="AA4" s="1" t="s">
        <v>64</v>
      </c>
      <c r="AB4" s="1"/>
      <c r="AC4" s="1" t="s">
        <v>4</v>
      </c>
      <c r="AD4" s="1"/>
      <c r="AF4" t="s">
        <v>75</v>
      </c>
      <c r="AH4" s="1" t="s">
        <v>76</v>
      </c>
      <c r="AI4" s="1"/>
      <c r="AJ4" s="2"/>
      <c r="AK4" s="2"/>
      <c r="AL4" s="2"/>
    </row>
    <row r="5" spans="1:38" x14ac:dyDescent="0.2">
      <c r="A5" s="6" t="s">
        <v>46</v>
      </c>
      <c r="B5" s="1"/>
      <c r="C5" s="5" t="s">
        <v>6</v>
      </c>
      <c r="D5" s="5"/>
      <c r="E5" s="5"/>
      <c r="F5" s="1" t="s">
        <v>7</v>
      </c>
      <c r="G5" s="1"/>
      <c r="H5" s="1" t="s">
        <v>8</v>
      </c>
      <c r="I5" s="1"/>
      <c r="J5" s="1">
        <v>65000</v>
      </c>
      <c r="K5" s="1"/>
      <c r="L5" s="1" t="s">
        <v>9</v>
      </c>
      <c r="M5" s="1"/>
      <c r="N5" s="1"/>
      <c r="O5" s="1"/>
      <c r="P5" s="1">
        <v>5900000</v>
      </c>
      <c r="Q5" s="1"/>
      <c r="R5" s="1"/>
      <c r="S5" s="1" t="s">
        <v>18</v>
      </c>
      <c r="T5" s="1"/>
      <c r="U5" s="1"/>
      <c r="W5" s="1" t="s">
        <v>65</v>
      </c>
      <c r="X5" s="1"/>
      <c r="Y5" s="1">
        <v>58000</v>
      </c>
      <c r="Z5" s="1"/>
      <c r="AA5" s="1" t="s">
        <v>66</v>
      </c>
      <c r="AB5" s="1"/>
      <c r="AC5" s="1"/>
      <c r="AD5" s="1"/>
      <c r="AF5" s="1"/>
      <c r="AG5" s="1"/>
      <c r="AH5" s="1">
        <f>AF5*85</f>
        <v>0</v>
      </c>
      <c r="AI5" s="1"/>
      <c r="AJ5" s="2"/>
      <c r="AK5" s="2"/>
      <c r="AL5" s="2"/>
    </row>
    <row r="6" spans="1:38" x14ac:dyDescent="0.2">
      <c r="A6" s="1"/>
      <c r="B6" s="1"/>
      <c r="C6" s="5" t="s">
        <v>11</v>
      </c>
      <c r="D6" s="5"/>
      <c r="E6" s="5"/>
      <c r="F6" s="1" t="s">
        <v>12</v>
      </c>
      <c r="G6" s="1"/>
      <c r="H6" s="1" t="s">
        <v>13</v>
      </c>
      <c r="I6" s="1"/>
      <c r="J6" s="1"/>
      <c r="K6" s="1"/>
      <c r="L6" s="7" t="s">
        <v>90</v>
      </c>
      <c r="M6" s="7"/>
      <c r="N6" s="7"/>
      <c r="O6" s="7"/>
      <c r="P6" s="1">
        <v>150000</v>
      </c>
      <c r="Q6" s="1"/>
      <c r="R6" s="1"/>
      <c r="S6" s="1" t="s">
        <v>19</v>
      </c>
      <c r="T6" s="1"/>
      <c r="U6" s="1"/>
      <c r="W6" s="1" t="s">
        <v>68</v>
      </c>
      <c r="X6" s="1"/>
      <c r="Y6" s="1"/>
      <c r="Z6" s="1"/>
      <c r="AA6" s="1" t="s">
        <v>67</v>
      </c>
      <c r="AB6" s="1"/>
      <c r="AC6" s="1"/>
      <c r="AD6" s="1"/>
    </row>
    <row r="7" spans="1:38" x14ac:dyDescent="0.2">
      <c r="A7" s="1"/>
      <c r="B7" s="1"/>
      <c r="C7" s="5" t="s">
        <v>20</v>
      </c>
      <c r="D7" s="5"/>
      <c r="E7" s="5"/>
      <c r="F7" s="1" t="s">
        <v>12</v>
      </c>
      <c r="G7" s="1"/>
      <c r="H7" s="1" t="s">
        <v>21</v>
      </c>
      <c r="I7" s="1"/>
      <c r="J7" s="1">
        <v>13000</v>
      </c>
      <c r="K7" s="1"/>
      <c r="L7" s="1" t="s">
        <v>15</v>
      </c>
      <c r="M7" s="1"/>
      <c r="N7" s="1"/>
      <c r="O7" s="1"/>
      <c r="P7" s="1">
        <v>160000</v>
      </c>
      <c r="Q7" s="1"/>
      <c r="R7" s="1"/>
      <c r="S7" s="1" t="s">
        <v>22</v>
      </c>
      <c r="T7" s="1"/>
      <c r="U7" s="1"/>
      <c r="W7" s="1" t="s">
        <v>88</v>
      </c>
      <c r="X7" s="1"/>
      <c r="Y7" s="1">
        <f>MAX(0, 'Oct2025'!R51)</f>
        <v>0</v>
      </c>
      <c r="Z7" s="1"/>
      <c r="AA7" s="1"/>
      <c r="AB7" s="1"/>
      <c r="AC7" s="1"/>
      <c r="AD7" s="1"/>
    </row>
    <row r="8" spans="1:38" x14ac:dyDescent="0.2">
      <c r="A8" s="1"/>
      <c r="B8" s="1"/>
      <c r="C8" s="5" t="s">
        <v>85</v>
      </c>
      <c r="D8" s="5"/>
      <c r="E8" s="5"/>
      <c r="F8" s="1" t="s">
        <v>7</v>
      </c>
      <c r="G8" s="1"/>
      <c r="H8" s="1" t="s">
        <v>23</v>
      </c>
      <c r="I8" s="1"/>
      <c r="J8" s="1">
        <v>13000</v>
      </c>
      <c r="K8" s="1"/>
      <c r="L8" s="1" t="s">
        <v>24</v>
      </c>
      <c r="M8" s="1"/>
      <c r="N8" s="1"/>
      <c r="O8" s="1"/>
      <c r="P8" s="1">
        <v>345000</v>
      </c>
      <c r="Q8" s="1"/>
      <c r="R8" s="1"/>
      <c r="S8" s="1" t="s">
        <v>18</v>
      </c>
      <c r="T8" s="1"/>
      <c r="U8" s="1"/>
      <c r="W8" s="1"/>
      <c r="X8" s="1"/>
      <c r="Y8" s="1"/>
      <c r="Z8" s="1"/>
      <c r="AA8" s="1"/>
      <c r="AB8" s="1"/>
      <c r="AC8" s="1"/>
      <c r="AD8" s="1"/>
    </row>
    <row r="9" spans="1:38" x14ac:dyDescent="0.2">
      <c r="A9" s="1"/>
      <c r="B9" s="1"/>
      <c r="C9" s="5" t="s">
        <v>28</v>
      </c>
      <c r="D9" s="5"/>
      <c r="E9" s="5"/>
      <c r="F9" s="1" t="s">
        <v>7</v>
      </c>
      <c r="G9" s="1"/>
      <c r="H9" s="1" t="s">
        <v>25</v>
      </c>
      <c r="I9" s="1"/>
      <c r="J9" s="1">
        <v>15000</v>
      </c>
      <c r="K9" s="1"/>
      <c r="L9" s="1" t="s">
        <v>26</v>
      </c>
      <c r="M9" s="1"/>
      <c r="N9" s="1"/>
      <c r="O9" s="1"/>
      <c r="P9" s="1"/>
      <c r="Q9" s="1"/>
      <c r="R9" s="1"/>
      <c r="S9" s="1" t="s">
        <v>27</v>
      </c>
      <c r="T9" s="1"/>
      <c r="U9" s="1"/>
      <c r="W9" s="1"/>
      <c r="X9" s="1"/>
      <c r="Y9" s="1"/>
      <c r="Z9" s="1"/>
      <c r="AA9" s="1"/>
      <c r="AB9" s="1"/>
      <c r="AC9" s="1"/>
      <c r="AD9" s="1"/>
    </row>
    <row r="10" spans="1:38" x14ac:dyDescent="0.2">
      <c r="A10" s="1"/>
      <c r="B10" s="1"/>
      <c r="C10" s="5" t="s">
        <v>29</v>
      </c>
      <c r="D10" s="5"/>
      <c r="E10" s="5"/>
      <c r="F10" s="1" t="s">
        <v>7</v>
      </c>
      <c r="G10" s="1"/>
      <c r="H10" s="1" t="s">
        <v>30</v>
      </c>
      <c r="I10" s="1"/>
      <c r="J10" s="1">
        <v>25000</v>
      </c>
      <c r="K10" s="1"/>
      <c r="L10" s="1" t="s">
        <v>31</v>
      </c>
      <c r="M10" s="1"/>
      <c r="N10" s="1"/>
      <c r="O10" s="1"/>
      <c r="P10" s="1"/>
      <c r="Q10" s="1"/>
      <c r="R10" s="1"/>
      <c r="S10" s="1" t="s">
        <v>32</v>
      </c>
      <c r="T10" s="1"/>
      <c r="U10" s="1"/>
      <c r="W10" s="1" t="s">
        <v>73</v>
      </c>
      <c r="X10" s="1"/>
      <c r="Y10" s="1">
        <f>AH5</f>
        <v>0</v>
      </c>
      <c r="Z10" s="1"/>
      <c r="AA10" s="1"/>
      <c r="AB10" s="1"/>
      <c r="AC10" s="1"/>
      <c r="AD10" s="1"/>
    </row>
    <row r="11" spans="1:38" x14ac:dyDescent="0.2">
      <c r="A11" s="1"/>
      <c r="B11" s="1"/>
      <c r="C11" s="5" t="s">
        <v>33</v>
      </c>
      <c r="D11" s="5"/>
      <c r="E11" s="5"/>
      <c r="F11" s="1" t="s">
        <v>7</v>
      </c>
      <c r="G11" s="1"/>
      <c r="H11" s="1" t="s">
        <v>25</v>
      </c>
      <c r="I11" s="1"/>
      <c r="J11" s="1">
        <v>10000</v>
      </c>
      <c r="K11" s="1"/>
      <c r="L11" s="1" t="s">
        <v>24</v>
      </c>
      <c r="M11" s="1"/>
      <c r="N11" s="1"/>
      <c r="O11" s="1"/>
      <c r="P11" s="1"/>
      <c r="Q11" s="1"/>
      <c r="R11" s="1"/>
      <c r="S11" s="1" t="s">
        <v>34</v>
      </c>
      <c r="T11" s="1"/>
      <c r="U11" s="1"/>
      <c r="W11" s="1"/>
      <c r="X11" s="1"/>
      <c r="Y11" s="1"/>
      <c r="Z11" s="1"/>
      <c r="AA11" s="1"/>
      <c r="AB11" s="1"/>
      <c r="AC11" s="1"/>
      <c r="AD11" s="1"/>
    </row>
    <row r="12" spans="1:38" x14ac:dyDescent="0.2">
      <c r="A12" s="1"/>
      <c r="B12" s="1"/>
      <c r="C12" s="5" t="s">
        <v>35</v>
      </c>
      <c r="D12" s="5"/>
      <c r="E12" s="5"/>
      <c r="F12" s="1" t="s">
        <v>7</v>
      </c>
      <c r="G12" s="1"/>
      <c r="H12" s="1" t="s">
        <v>36</v>
      </c>
      <c r="I12" s="1"/>
      <c r="J12" s="1">
        <v>15000</v>
      </c>
      <c r="K12" s="1"/>
      <c r="L12" s="7" t="s">
        <v>91</v>
      </c>
      <c r="M12" s="7"/>
      <c r="N12" s="7"/>
      <c r="O12" s="7"/>
      <c r="P12" s="1">
        <v>90000</v>
      </c>
      <c r="Q12" s="1"/>
      <c r="R12" s="1"/>
      <c r="S12" s="1" t="s">
        <v>38</v>
      </c>
      <c r="T12" s="1"/>
      <c r="U12" s="1"/>
      <c r="W12" s="1"/>
      <c r="X12" s="1"/>
      <c r="Y12" s="1"/>
      <c r="Z12" s="1"/>
      <c r="AA12" s="1"/>
      <c r="AB12" s="1"/>
      <c r="AC12" s="1"/>
      <c r="AD12" s="1"/>
    </row>
    <row r="13" spans="1:38" x14ac:dyDescent="0.2">
      <c r="A13" s="1"/>
      <c r="B13" s="1"/>
      <c r="C13" s="5" t="s">
        <v>39</v>
      </c>
      <c r="D13" s="5"/>
      <c r="E13" s="5"/>
      <c r="F13" s="1" t="s">
        <v>7</v>
      </c>
      <c r="G13" s="1"/>
      <c r="H13" s="1" t="s">
        <v>40</v>
      </c>
      <c r="I13" s="1"/>
      <c r="J13" s="1">
        <v>10000</v>
      </c>
      <c r="K13" s="1"/>
      <c r="L13" s="1" t="s">
        <v>41</v>
      </c>
      <c r="M13" s="1"/>
      <c r="N13" s="1"/>
      <c r="O13" s="1"/>
      <c r="P13" s="1"/>
      <c r="Q13" s="1"/>
      <c r="R13" s="1"/>
      <c r="S13" s="1" t="s">
        <v>34</v>
      </c>
      <c r="T13" s="1"/>
      <c r="U13" s="1"/>
      <c r="W13" s="1"/>
      <c r="X13" s="1"/>
      <c r="Y13" s="1"/>
      <c r="Z13" s="1"/>
      <c r="AA13" s="1"/>
      <c r="AB13" s="1"/>
      <c r="AC13" s="1"/>
      <c r="AD13" s="1"/>
    </row>
    <row r="14" spans="1:38" x14ac:dyDescent="0.2">
      <c r="A14" s="1"/>
      <c r="B14" s="1"/>
      <c r="C14" s="5" t="s">
        <v>42</v>
      </c>
      <c r="D14" s="5"/>
      <c r="E14" s="5"/>
      <c r="F14" s="1" t="s">
        <v>7</v>
      </c>
      <c r="G14" s="1"/>
      <c r="H14" s="1" t="s">
        <v>44</v>
      </c>
      <c r="I14" s="1"/>
      <c r="J14" s="1">
        <v>10000</v>
      </c>
      <c r="K14" s="1"/>
      <c r="L14" s="1" t="s">
        <v>43</v>
      </c>
      <c r="M14" s="1"/>
      <c r="N14" s="1"/>
      <c r="O14" s="1"/>
      <c r="P14" s="1"/>
      <c r="Q14" s="1"/>
      <c r="R14" s="1"/>
      <c r="S14" s="1" t="s">
        <v>45</v>
      </c>
      <c r="T14" s="1"/>
      <c r="U14" s="1"/>
      <c r="W14" s="1"/>
      <c r="X14" s="1"/>
      <c r="Y14" s="1"/>
      <c r="Z14" s="1"/>
      <c r="AA14" s="1"/>
      <c r="AB14" s="1"/>
      <c r="AC14" s="1"/>
      <c r="AD14" s="1"/>
    </row>
    <row r="15" spans="1:38" x14ac:dyDescent="0.2">
      <c r="A15" s="1" t="s">
        <v>47</v>
      </c>
      <c r="B15" s="1"/>
      <c r="C15" s="5" t="s">
        <v>48</v>
      </c>
      <c r="D15" s="5"/>
      <c r="E15" s="5"/>
      <c r="F15" s="1" t="s">
        <v>7</v>
      </c>
      <c r="G15" s="1"/>
      <c r="H15" s="1" t="s">
        <v>25</v>
      </c>
      <c r="I15" s="1"/>
      <c r="J15" s="1">
        <v>6000</v>
      </c>
      <c r="K15" s="1"/>
      <c r="L15" s="1" t="s">
        <v>49</v>
      </c>
      <c r="M15" s="1"/>
      <c r="N15" s="1"/>
      <c r="O15" s="1"/>
      <c r="P15" s="1"/>
      <c r="Q15" s="1"/>
      <c r="R15" s="1"/>
      <c r="S15" s="1" t="s">
        <v>34</v>
      </c>
      <c r="T15" s="1"/>
      <c r="U15" s="1"/>
      <c r="W15" s="1"/>
      <c r="X15" s="1"/>
      <c r="Y15" s="1"/>
      <c r="Z15" s="1"/>
      <c r="AA15" s="1"/>
      <c r="AB15" s="1"/>
      <c r="AC15" s="1"/>
      <c r="AD15" s="1"/>
    </row>
    <row r="16" spans="1:38" x14ac:dyDescent="0.2">
      <c r="A16" s="1"/>
      <c r="B16" s="1"/>
      <c r="C16" s="5" t="s">
        <v>50</v>
      </c>
      <c r="D16" s="5"/>
      <c r="E16" s="5"/>
      <c r="F16" s="1" t="s">
        <v>7</v>
      </c>
      <c r="G16" s="1"/>
      <c r="H16" s="1" t="s">
        <v>51</v>
      </c>
      <c r="I16" s="1"/>
      <c r="J16" s="1">
        <v>20000</v>
      </c>
      <c r="K16" s="1"/>
      <c r="L16" s="1" t="s">
        <v>52</v>
      </c>
      <c r="M16" s="1"/>
      <c r="N16" s="1"/>
      <c r="O16" s="1"/>
      <c r="P16" s="1">
        <v>528000</v>
      </c>
      <c r="Q16" s="1"/>
      <c r="R16" s="1"/>
      <c r="S16" s="1" t="s">
        <v>34</v>
      </c>
      <c r="T16" s="1"/>
      <c r="U16" s="1"/>
      <c r="W16" s="1"/>
      <c r="X16" s="1"/>
      <c r="Y16" s="1"/>
      <c r="Z16" s="1"/>
      <c r="AA16" s="1"/>
      <c r="AB16" s="1"/>
      <c r="AC16" s="1"/>
      <c r="AD16" s="1"/>
    </row>
    <row r="17" spans="1:30" x14ac:dyDescent="0.2">
      <c r="A17" s="1"/>
      <c r="B17" s="1"/>
      <c r="C17" s="5" t="s">
        <v>53</v>
      </c>
      <c r="D17" s="5"/>
      <c r="E17" s="5"/>
      <c r="F17" s="1" t="s">
        <v>7</v>
      </c>
      <c r="G17" s="1"/>
      <c r="H17" s="1" t="s">
        <v>54</v>
      </c>
      <c r="I17" s="1"/>
      <c r="J17" s="1">
        <v>25000</v>
      </c>
      <c r="K17" s="1"/>
      <c r="L17" s="1" t="s">
        <v>52</v>
      </c>
      <c r="M17" s="1"/>
      <c r="N17" s="1"/>
      <c r="O17" s="1"/>
      <c r="P17" s="1">
        <v>724000</v>
      </c>
      <c r="Q17" s="1"/>
      <c r="R17" s="1"/>
      <c r="S17" s="1" t="s">
        <v>34</v>
      </c>
      <c r="T17" s="1"/>
      <c r="U17" s="1"/>
      <c r="W17" s="1"/>
      <c r="X17" s="1"/>
      <c r="Y17" s="1"/>
      <c r="Z17" s="1"/>
      <c r="AA17" s="1"/>
      <c r="AB17" s="1"/>
      <c r="AC17" s="1"/>
      <c r="AD17" s="1"/>
    </row>
    <row r="18" spans="1:30" x14ac:dyDescent="0.2">
      <c r="A18" s="1"/>
      <c r="B18" s="1"/>
      <c r="C18" s="5" t="s">
        <v>39</v>
      </c>
      <c r="D18" s="5"/>
      <c r="E18" s="5"/>
      <c r="F18" s="1" t="s">
        <v>7</v>
      </c>
      <c r="G18" s="1"/>
      <c r="H18" s="1" t="s">
        <v>25</v>
      </c>
      <c r="I18" s="1"/>
      <c r="J18" s="1">
        <v>10000</v>
      </c>
      <c r="K18" s="1"/>
      <c r="L18" s="1" t="s">
        <v>41</v>
      </c>
      <c r="M18" s="1"/>
      <c r="N18" s="1"/>
      <c r="O18" s="1"/>
      <c r="P18" s="1"/>
      <c r="Q18" s="1"/>
      <c r="R18" s="1"/>
      <c r="S18" s="1" t="s">
        <v>34</v>
      </c>
      <c r="T18" s="1"/>
      <c r="U18" s="1"/>
      <c r="W18" s="1"/>
      <c r="X18" s="1"/>
      <c r="Y18" s="1"/>
      <c r="Z18" s="1"/>
      <c r="AA18" s="1"/>
      <c r="AB18" s="1"/>
      <c r="AC18" s="1"/>
      <c r="AD18" s="1"/>
    </row>
    <row r="19" spans="1:30" x14ac:dyDescent="0.2">
      <c r="A19" s="1" t="s">
        <v>55</v>
      </c>
      <c r="B19" s="1"/>
      <c r="C19" s="5" t="s">
        <v>56</v>
      </c>
      <c r="D19" s="5"/>
      <c r="E19" s="5"/>
      <c r="F19" s="1" t="s">
        <v>7</v>
      </c>
      <c r="G19" s="1"/>
      <c r="H19" s="1" t="s">
        <v>25</v>
      </c>
      <c r="I19" s="1"/>
      <c r="J19" s="1">
        <v>21000</v>
      </c>
      <c r="K19" s="1"/>
      <c r="L19" s="1" t="s">
        <v>57</v>
      </c>
      <c r="M19" s="1"/>
      <c r="N19" s="1"/>
      <c r="O19" s="1"/>
      <c r="P19" s="1">
        <v>1000000</v>
      </c>
      <c r="Q19" s="1"/>
      <c r="R19" s="1"/>
      <c r="S19" s="1" t="s">
        <v>34</v>
      </c>
      <c r="T19" s="1"/>
      <c r="U19" s="1"/>
      <c r="W19" s="1"/>
      <c r="X19" s="1"/>
      <c r="Y19" s="1"/>
      <c r="Z19" s="1"/>
      <c r="AA19" s="1"/>
      <c r="AB19" s="1"/>
      <c r="AC19" s="1"/>
      <c r="AD19" s="1"/>
    </row>
    <row r="20" spans="1:30" x14ac:dyDescent="0.2">
      <c r="A20" s="1"/>
      <c r="B20" s="1"/>
      <c r="C20" s="5" t="s">
        <v>58</v>
      </c>
      <c r="D20" s="5"/>
      <c r="E20" s="5"/>
      <c r="F20" s="1" t="s">
        <v>7</v>
      </c>
      <c r="G20" s="1"/>
      <c r="H20" s="1" t="s">
        <v>59</v>
      </c>
      <c r="I20" s="1"/>
      <c r="J20" s="1">
        <v>6000</v>
      </c>
      <c r="K20" s="1"/>
      <c r="L20" s="1" t="s">
        <v>57</v>
      </c>
      <c r="M20" s="1"/>
      <c r="N20" s="1"/>
      <c r="O20" s="1"/>
      <c r="P20" s="1">
        <v>1000000</v>
      </c>
      <c r="Q20" s="1"/>
      <c r="R20" s="1"/>
      <c r="S20" s="1" t="s">
        <v>34</v>
      </c>
      <c r="T20" s="1"/>
      <c r="U20" s="1"/>
      <c r="W20" s="1"/>
      <c r="X20" s="1"/>
      <c r="Y20" s="1"/>
      <c r="Z20" s="1"/>
      <c r="AA20" s="1"/>
      <c r="AB20" s="1"/>
      <c r="AC20" s="1"/>
      <c r="AD20" s="1"/>
    </row>
    <row r="21" spans="1:30" x14ac:dyDescent="0.2">
      <c r="A21" s="1"/>
      <c r="B21" s="1"/>
      <c r="C21" s="5" t="s">
        <v>60</v>
      </c>
      <c r="D21" s="5"/>
      <c r="E21" s="5"/>
      <c r="F21" s="1" t="s">
        <v>7</v>
      </c>
      <c r="G21" s="1"/>
      <c r="H21" s="1" t="s">
        <v>25</v>
      </c>
      <c r="I21" s="1"/>
      <c r="J21" s="1">
        <v>3000</v>
      </c>
      <c r="K21" s="1"/>
      <c r="L21" s="1" t="s">
        <v>61</v>
      </c>
      <c r="M21" s="1"/>
      <c r="N21" s="1"/>
      <c r="O21" s="1"/>
      <c r="P21" s="1"/>
      <c r="Q21" s="1"/>
      <c r="R21" s="1"/>
      <c r="S21" s="1" t="s">
        <v>34</v>
      </c>
      <c r="T21" s="1"/>
      <c r="U21" s="1"/>
      <c r="W21" s="1"/>
      <c r="X21" s="1"/>
      <c r="Y21" s="1"/>
      <c r="Z21" s="1"/>
      <c r="AA21" s="1"/>
      <c r="AB21" s="1"/>
      <c r="AC21" s="1"/>
      <c r="AD21" s="1"/>
    </row>
    <row r="22" spans="1:30" x14ac:dyDescent="0.2">
      <c r="A22" s="1"/>
      <c r="B22" s="1"/>
      <c r="C22" s="5" t="s">
        <v>62</v>
      </c>
      <c r="D22" s="5"/>
      <c r="E22" s="5"/>
      <c r="F22" s="1" t="s">
        <v>7</v>
      </c>
      <c r="G22" s="1"/>
      <c r="H22" s="1" t="s">
        <v>38</v>
      </c>
      <c r="I22" s="1"/>
      <c r="J22" s="1"/>
      <c r="K22" s="1"/>
      <c r="L22" s="7" t="s">
        <v>90</v>
      </c>
      <c r="M22" s="7"/>
      <c r="N22" s="7"/>
      <c r="O22" s="7"/>
      <c r="P22" s="1">
        <v>100000</v>
      </c>
      <c r="Q22" s="1"/>
      <c r="R22" s="1"/>
      <c r="S22" s="1" t="s">
        <v>19</v>
      </c>
      <c r="T22" s="1"/>
      <c r="U22" s="1"/>
      <c r="W22" s="1"/>
      <c r="X22" s="1"/>
      <c r="Y22" s="1"/>
      <c r="Z22" s="1"/>
      <c r="AA22" s="1"/>
      <c r="AB22" s="1"/>
      <c r="AC22" s="1"/>
      <c r="AD22" s="1"/>
    </row>
    <row r="23" spans="1:30" x14ac:dyDescent="0.2">
      <c r="A23" s="1"/>
      <c r="B23" s="1"/>
      <c r="C23" s="5" t="s">
        <v>29</v>
      </c>
      <c r="D23" s="5"/>
      <c r="E23" s="5"/>
      <c r="F23" s="1" t="s">
        <v>7</v>
      </c>
      <c r="G23" s="1"/>
      <c r="H23" s="1" t="s">
        <v>30</v>
      </c>
      <c r="I23" s="1"/>
      <c r="J23" s="1">
        <v>30000</v>
      </c>
      <c r="K23" s="1"/>
      <c r="L23" s="1" t="s">
        <v>31</v>
      </c>
      <c r="M23" s="1"/>
      <c r="N23" s="1"/>
      <c r="O23" s="1"/>
      <c r="P23" s="1"/>
      <c r="Q23" s="1"/>
      <c r="R23" s="1"/>
      <c r="S23" s="1" t="s">
        <v>32</v>
      </c>
      <c r="T23" s="1"/>
      <c r="U23" s="1"/>
      <c r="W23" s="1"/>
      <c r="X23" s="1"/>
      <c r="Y23" s="1"/>
      <c r="Z23" s="1"/>
      <c r="AA23" s="1"/>
      <c r="AB23" s="1"/>
      <c r="AC23" s="1"/>
      <c r="AD23" s="1"/>
    </row>
    <row r="24" spans="1:30" x14ac:dyDescent="0.2">
      <c r="A24" s="1"/>
      <c r="B24" s="1"/>
      <c r="C24" s="5"/>
      <c r="D24" s="5"/>
      <c r="E24" s="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W24" s="1"/>
      <c r="X24" s="1"/>
      <c r="Y24" s="1"/>
      <c r="Z24" s="1"/>
      <c r="AA24" s="1"/>
      <c r="AB24" s="1"/>
      <c r="AC24" s="1"/>
      <c r="AD24" s="1"/>
    </row>
    <row r="25" spans="1:30" x14ac:dyDescent="0.2">
      <c r="A25" s="1"/>
      <c r="B25" s="1"/>
      <c r="C25" s="5"/>
      <c r="D25" s="5"/>
      <c r="E25" s="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W25" s="1"/>
      <c r="X25" s="1"/>
      <c r="Y25" s="1"/>
      <c r="Z25" s="1"/>
      <c r="AA25" s="1"/>
      <c r="AB25" s="1"/>
      <c r="AC25" s="1"/>
      <c r="AD25" s="1"/>
    </row>
    <row r="26" spans="1:30" x14ac:dyDescent="0.2">
      <c r="A26" s="1"/>
      <c r="B26" s="1"/>
      <c r="C26" s="5"/>
      <c r="D26" s="5"/>
      <c r="E26" s="5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W26" s="1"/>
      <c r="X26" s="1"/>
      <c r="Y26" s="1"/>
      <c r="Z26" s="1"/>
      <c r="AA26" s="1"/>
      <c r="AB26" s="1"/>
      <c r="AC26" s="1"/>
      <c r="AD26" s="1"/>
    </row>
    <row r="27" spans="1:30" x14ac:dyDescent="0.2">
      <c r="A27" s="1"/>
      <c r="B27" s="1"/>
      <c r="C27" s="5"/>
      <c r="D27" s="5"/>
      <c r="E27" s="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W27" s="1"/>
      <c r="X27" s="1"/>
      <c r="Y27" s="1"/>
      <c r="Z27" s="1"/>
      <c r="AA27" s="1"/>
      <c r="AB27" s="1"/>
      <c r="AC27" s="1"/>
      <c r="AD27" s="1"/>
    </row>
    <row r="28" spans="1:30" x14ac:dyDescent="0.2">
      <c r="A28" s="1"/>
      <c r="B28" s="1"/>
      <c r="C28" s="5"/>
      <c r="D28" s="5"/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W28" s="1"/>
      <c r="X28" s="1"/>
      <c r="Y28" s="1"/>
      <c r="Z28" s="1"/>
      <c r="AA28" s="1"/>
      <c r="AB28" s="1"/>
      <c r="AC28" s="1"/>
      <c r="AD28" s="1"/>
    </row>
    <row r="29" spans="1:30" x14ac:dyDescent="0.2">
      <c r="A29" s="1"/>
      <c r="B29" s="1"/>
      <c r="C29" s="5"/>
      <c r="D29" s="5"/>
      <c r="E29" s="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W29" s="1"/>
      <c r="X29" s="1"/>
      <c r="Y29" s="1"/>
      <c r="Z29" s="1"/>
      <c r="AA29" s="1"/>
      <c r="AB29" s="1"/>
      <c r="AC29" s="1"/>
      <c r="AD29" s="1"/>
    </row>
    <row r="30" spans="1:30" x14ac:dyDescent="0.2">
      <c r="A30" s="1"/>
      <c r="B30" s="1"/>
      <c r="C30" s="5"/>
      <c r="D30" s="5"/>
      <c r="E30" s="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W30" s="1"/>
      <c r="X30" s="1"/>
      <c r="Y30" s="1"/>
      <c r="Z30" s="1"/>
      <c r="AA30" s="1"/>
      <c r="AB30" s="1"/>
      <c r="AC30" s="1"/>
      <c r="AD30" s="1"/>
    </row>
    <row r="31" spans="1:30" x14ac:dyDescent="0.2">
      <c r="A31" s="1"/>
      <c r="B31" s="1"/>
      <c r="C31" s="5"/>
      <c r="D31" s="5"/>
      <c r="E31" s="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W31" s="1"/>
      <c r="X31" s="1"/>
      <c r="Y31" s="1"/>
      <c r="Z31" s="1"/>
      <c r="AA31" s="1"/>
      <c r="AB31" s="1"/>
      <c r="AC31" s="1"/>
      <c r="AD31" s="1"/>
    </row>
    <row r="32" spans="1:30" x14ac:dyDescent="0.2">
      <c r="A32" s="1"/>
      <c r="B32" s="1"/>
      <c r="C32" s="5"/>
      <c r="D32" s="5"/>
      <c r="E32" s="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W32" s="1"/>
      <c r="X32" s="1"/>
      <c r="Y32" s="1"/>
      <c r="Z32" s="1"/>
      <c r="AA32" s="1"/>
      <c r="AB32" s="1"/>
      <c r="AC32" s="1"/>
      <c r="AD32" s="1"/>
    </row>
    <row r="33" spans="1:30" x14ac:dyDescent="0.2">
      <c r="A33" s="1"/>
      <c r="B33" s="1"/>
      <c r="C33" s="5"/>
      <c r="D33" s="5"/>
      <c r="E33" s="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W33" s="1"/>
      <c r="X33" s="1"/>
      <c r="Y33" s="1"/>
      <c r="Z33" s="1"/>
      <c r="AA33" s="1"/>
      <c r="AB33" s="1"/>
      <c r="AC33" s="1"/>
      <c r="AD33" s="1"/>
    </row>
    <row r="34" spans="1:30" x14ac:dyDescent="0.2">
      <c r="A34" s="1"/>
      <c r="B34" s="1"/>
      <c r="C34" s="5"/>
      <c r="D34" s="5"/>
      <c r="E34" s="5"/>
      <c r="F34" s="1"/>
      <c r="G34" s="1"/>
      <c r="H34" s="1" t="s">
        <v>70</v>
      </c>
      <c r="I34" s="1"/>
      <c r="J34" s="1">
        <f>SUM(J5:J23)</f>
        <v>297000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W34" s="1"/>
      <c r="X34" s="1"/>
      <c r="Y34" s="1">
        <f>SUM(Y5:Z33)</f>
        <v>58000</v>
      </c>
      <c r="Z34" s="1"/>
      <c r="AA34" s="1"/>
      <c r="AB34" s="1"/>
      <c r="AC34" s="1">
        <f>SUM(AC5:AD33)</f>
        <v>0</v>
      </c>
      <c r="AD34" s="1"/>
    </row>
    <row r="35" spans="1:30" x14ac:dyDescent="0.2">
      <c r="A35" s="1"/>
      <c r="B35" s="1"/>
      <c r="C35" s="5"/>
      <c r="D35" s="5"/>
      <c r="E35" s="5"/>
      <c r="F35" s="1"/>
      <c r="G35" s="1"/>
      <c r="H35" s="1" t="s">
        <v>71</v>
      </c>
      <c r="I35" s="1"/>
      <c r="J35" s="1">
        <f>AA36</f>
        <v>58000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W35" s="1"/>
      <c r="X35" s="1"/>
      <c r="Y35" s="1"/>
      <c r="Z35" s="1"/>
      <c r="AA35" s="1"/>
      <c r="AB35" s="1"/>
      <c r="AC35" s="1"/>
      <c r="AD35" s="1"/>
    </row>
    <row r="36" spans="1:30" x14ac:dyDescent="0.2">
      <c r="A36" s="1"/>
      <c r="B36" s="1"/>
      <c r="C36" s="5"/>
      <c r="D36" s="5"/>
      <c r="E36" s="5"/>
      <c r="F36" s="1"/>
      <c r="G36" s="1"/>
      <c r="H36" s="1" t="s">
        <v>72</v>
      </c>
      <c r="I36" s="1"/>
      <c r="J36" s="1">
        <f>J35-J34</f>
        <v>-239000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W36" s="1" t="s">
        <v>69</v>
      </c>
      <c r="X36" s="1"/>
      <c r="Y36" s="1"/>
      <c r="Z36" s="1"/>
      <c r="AA36" s="1">
        <f>Y34+AC34</f>
        <v>58000</v>
      </c>
      <c r="AB36" s="1"/>
      <c r="AC36" s="1"/>
      <c r="AD36" s="1"/>
    </row>
    <row r="37" spans="1:30" x14ac:dyDescent="0.2">
      <c r="A37" s="1"/>
      <c r="B37" s="1"/>
      <c r="C37" s="5"/>
      <c r="D37" s="5"/>
      <c r="E37" s="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9" spans="1:30" x14ac:dyDescent="0.2">
      <c r="D39" s="1" t="s">
        <v>77</v>
      </c>
      <c r="E39" s="1"/>
      <c r="F39" s="1"/>
      <c r="G39" s="1"/>
      <c r="H39" s="1"/>
      <c r="I39" s="1"/>
      <c r="J39" s="1" t="s">
        <v>78</v>
      </c>
      <c r="K39" s="1"/>
      <c r="L39" s="1"/>
      <c r="M39" s="1"/>
      <c r="N39" s="1"/>
      <c r="O39" s="1"/>
      <c r="P39" s="1" t="s">
        <v>64</v>
      </c>
      <c r="Q39" s="1"/>
      <c r="R39" t="s">
        <v>84</v>
      </c>
    </row>
    <row r="40" spans="1:30" x14ac:dyDescent="0.2">
      <c r="D40" s="1"/>
      <c r="E40" s="1"/>
      <c r="F40" s="1"/>
      <c r="G40" s="1"/>
      <c r="H40" s="1"/>
      <c r="I40" s="1"/>
      <c r="K40" s="1"/>
      <c r="L40" s="1"/>
      <c r="M40" s="1"/>
      <c r="N40" s="1"/>
      <c r="O40" s="1"/>
      <c r="P40" s="1"/>
      <c r="Q40" s="1"/>
    </row>
    <row r="41" spans="1:30" x14ac:dyDescent="0.2">
      <c r="C41">
        <v>1</v>
      </c>
      <c r="D41" s="1"/>
      <c r="E41" s="1"/>
      <c r="F41" s="1"/>
      <c r="G41" s="1"/>
      <c r="H41" s="1"/>
      <c r="I41" s="1"/>
      <c r="K41" s="1"/>
      <c r="L41" s="1"/>
      <c r="M41" s="1"/>
      <c r="N41" s="1"/>
      <c r="O41" s="1"/>
      <c r="P41" s="1"/>
      <c r="Q41" s="1"/>
    </row>
    <row r="42" spans="1:30" x14ac:dyDescent="0.2">
      <c r="C42">
        <v>2</v>
      </c>
      <c r="D42" s="1"/>
      <c r="E42" s="1"/>
      <c r="F42" s="1"/>
      <c r="G42" s="1"/>
      <c r="H42" s="1"/>
      <c r="I42" s="1"/>
      <c r="K42" s="1"/>
      <c r="L42" s="1"/>
      <c r="M42" s="1"/>
      <c r="N42" s="1"/>
      <c r="O42" s="1"/>
      <c r="P42" s="1"/>
      <c r="Q42" s="1"/>
    </row>
    <row r="43" spans="1:30" x14ac:dyDescent="0.2">
      <c r="C43">
        <v>3</v>
      </c>
      <c r="D43" s="1"/>
      <c r="E43" s="1"/>
      <c r="F43" s="1"/>
      <c r="G43" s="1"/>
      <c r="H43" s="1"/>
      <c r="I43" s="1"/>
      <c r="K43" s="1"/>
      <c r="L43" s="1"/>
      <c r="M43" s="1"/>
      <c r="N43" s="1"/>
      <c r="O43" s="1"/>
      <c r="P43" s="1"/>
      <c r="Q43" s="1"/>
    </row>
    <row r="44" spans="1:30" x14ac:dyDescent="0.2">
      <c r="D44" s="1"/>
      <c r="E44" s="1"/>
      <c r="F44" s="1"/>
      <c r="G44" s="1"/>
      <c r="H44" s="1"/>
      <c r="I44" s="1"/>
      <c r="K44" s="1"/>
      <c r="L44" s="1"/>
      <c r="M44" s="1"/>
      <c r="N44" s="1"/>
      <c r="O44" s="1"/>
      <c r="P44" s="1"/>
      <c r="Q44" s="1"/>
    </row>
    <row r="45" spans="1:30" x14ac:dyDescent="0.2">
      <c r="D45" s="1"/>
      <c r="E45" s="1"/>
      <c r="F45" s="1"/>
      <c r="G45" s="1"/>
      <c r="H45" s="1"/>
      <c r="I45" s="1"/>
      <c r="K45" s="1"/>
      <c r="L45" s="1"/>
      <c r="M45" s="1"/>
      <c r="N45" s="1"/>
      <c r="O45" s="1"/>
      <c r="P45" s="1"/>
      <c r="Q45" s="1"/>
    </row>
    <row r="46" spans="1:30" x14ac:dyDescent="0.2">
      <c r="D46" s="1"/>
      <c r="E46" s="1"/>
      <c r="F46" s="1"/>
      <c r="G46" s="1"/>
      <c r="H46" s="1"/>
      <c r="I46" s="1"/>
      <c r="K46" s="1"/>
      <c r="L46" s="1"/>
      <c r="M46" s="1"/>
      <c r="N46" s="1"/>
      <c r="O46" s="1"/>
      <c r="P46" s="1"/>
      <c r="Q46" s="1"/>
    </row>
    <row r="47" spans="1:30" x14ac:dyDescent="0.2">
      <c r="D47" s="1"/>
      <c r="E47" s="1"/>
      <c r="F47" s="1"/>
      <c r="G47" s="1"/>
      <c r="H47" s="1"/>
      <c r="I47" s="1"/>
      <c r="K47" s="1"/>
      <c r="L47" s="1"/>
      <c r="M47" s="1"/>
      <c r="N47" s="1"/>
      <c r="O47" s="1"/>
      <c r="P47" s="1"/>
      <c r="Q47" s="1"/>
    </row>
    <row r="48" spans="1:30" x14ac:dyDescent="0.2">
      <c r="D48" s="1"/>
      <c r="E48" s="1"/>
      <c r="F48" s="1"/>
      <c r="G48" s="1"/>
      <c r="H48" s="1"/>
      <c r="I48" s="1"/>
      <c r="K48" s="1"/>
      <c r="L48" s="1"/>
      <c r="M48" s="1"/>
      <c r="N48" s="1"/>
      <c r="O48" s="1"/>
      <c r="P48" s="1"/>
      <c r="Q48" s="1"/>
    </row>
    <row r="49" spans="4:18" x14ac:dyDescent="0.2">
      <c r="D49" s="1"/>
      <c r="E49" s="1"/>
      <c r="F49" s="1"/>
      <c r="G49" s="1"/>
      <c r="H49" s="1"/>
      <c r="I49" s="1"/>
      <c r="K49" s="1"/>
      <c r="L49" s="1"/>
      <c r="M49" s="1"/>
      <c r="N49" s="1"/>
      <c r="O49" s="1"/>
      <c r="R49">
        <f>SUM(R41:R42)</f>
        <v>0</v>
      </c>
    </row>
    <row r="50" spans="4:18" x14ac:dyDescent="0.2">
      <c r="D50" s="1"/>
      <c r="E50" s="1"/>
      <c r="F50" s="1"/>
      <c r="G50" s="1"/>
      <c r="H50" s="1"/>
      <c r="I50" s="1"/>
      <c r="K50" s="1"/>
      <c r="L50" s="1"/>
      <c r="M50" s="1"/>
      <c r="N50" s="1"/>
      <c r="O50" s="1"/>
      <c r="P50" s="1"/>
      <c r="Q50" s="1"/>
    </row>
    <row r="51" spans="4:18" x14ac:dyDescent="0.2">
      <c r="D51" s="1"/>
      <c r="E51" s="1"/>
      <c r="F51" s="1"/>
      <c r="G51" s="1"/>
      <c r="H51" s="1"/>
      <c r="I51" s="1"/>
      <c r="K51" s="1"/>
      <c r="L51" s="1"/>
      <c r="M51" s="1"/>
      <c r="N51" s="1"/>
      <c r="O51" s="1"/>
      <c r="P51" s="3" t="s">
        <v>89</v>
      </c>
      <c r="Q51" s="3"/>
      <c r="R51">
        <f>J36-R49</f>
        <v>-239000</v>
      </c>
    </row>
    <row r="52" spans="4:18" x14ac:dyDescent="0.2">
      <c r="D52" s="1"/>
      <c r="E52" s="1"/>
      <c r="F52" s="1"/>
      <c r="G52" s="1"/>
      <c r="H52" s="1"/>
      <c r="I52" s="1"/>
      <c r="K52" s="1"/>
      <c r="L52" s="1"/>
      <c r="M52" s="1"/>
      <c r="N52" s="1"/>
      <c r="O52" s="1"/>
      <c r="P52" s="1"/>
      <c r="Q52" s="1"/>
    </row>
    <row r="53" spans="4:18" x14ac:dyDescent="0.2">
      <c r="D53" s="1"/>
      <c r="E53" s="1"/>
      <c r="F53" s="1"/>
      <c r="G53" s="1"/>
      <c r="H53" s="1"/>
      <c r="I53" s="1"/>
      <c r="K53" s="1"/>
      <c r="L53" s="1"/>
      <c r="M53" s="1"/>
      <c r="N53" s="1"/>
      <c r="O53" s="1"/>
      <c r="P53" s="1"/>
      <c r="Q53" s="1"/>
    </row>
    <row r="54" spans="4:18" x14ac:dyDescent="0.2">
      <c r="D54" s="1"/>
      <c r="E54" s="1"/>
      <c r="F54" s="1"/>
      <c r="G54" s="1"/>
      <c r="H54" s="1"/>
      <c r="I54" s="1"/>
      <c r="K54" s="1"/>
      <c r="L54" s="1"/>
      <c r="M54" s="1"/>
      <c r="N54" s="1"/>
      <c r="O54" s="1"/>
      <c r="P54" s="1"/>
      <c r="Q54" s="1"/>
    </row>
  </sheetData>
  <mergeCells count="456">
    <mergeCell ref="D54:I54"/>
    <mergeCell ref="K54:O54"/>
    <mergeCell ref="P54:Q54"/>
    <mergeCell ref="D52:I52"/>
    <mergeCell ref="K52:O52"/>
    <mergeCell ref="P52:Q52"/>
    <mergeCell ref="D53:I53"/>
    <mergeCell ref="K53:O53"/>
    <mergeCell ref="P53:Q53"/>
    <mergeCell ref="D50:I50"/>
    <mergeCell ref="K50:O50"/>
    <mergeCell ref="P50:Q50"/>
    <mergeCell ref="D51:I51"/>
    <mergeCell ref="K51:O51"/>
    <mergeCell ref="D48:I48"/>
    <mergeCell ref="K48:O48"/>
    <mergeCell ref="P48:Q48"/>
    <mergeCell ref="D49:I49"/>
    <mergeCell ref="K49:O49"/>
    <mergeCell ref="P51:Q51"/>
    <mergeCell ref="D46:I46"/>
    <mergeCell ref="K46:O46"/>
    <mergeCell ref="P46:Q46"/>
    <mergeCell ref="D47:I47"/>
    <mergeCell ref="K47:O47"/>
    <mergeCell ref="P47:Q47"/>
    <mergeCell ref="D44:I44"/>
    <mergeCell ref="K44:O44"/>
    <mergeCell ref="P44:Q44"/>
    <mergeCell ref="D45:I45"/>
    <mergeCell ref="K45:O45"/>
    <mergeCell ref="P45:Q45"/>
    <mergeCell ref="D43:I43"/>
    <mergeCell ref="K43:O43"/>
    <mergeCell ref="P43:Q43"/>
    <mergeCell ref="D40:I40"/>
    <mergeCell ref="K40:O40"/>
    <mergeCell ref="P40:Q40"/>
    <mergeCell ref="D41:I41"/>
    <mergeCell ref="K41:O41"/>
    <mergeCell ref="P41:Q41"/>
    <mergeCell ref="D39:I39"/>
    <mergeCell ref="J39:O39"/>
    <mergeCell ref="P39:Q39"/>
    <mergeCell ref="P36:R36"/>
    <mergeCell ref="S36:U36"/>
    <mergeCell ref="W36:Z36"/>
    <mergeCell ref="D42:I42"/>
    <mergeCell ref="K42:O42"/>
    <mergeCell ref="P42:Q42"/>
    <mergeCell ref="AA36:AB36"/>
    <mergeCell ref="AC36:AD36"/>
    <mergeCell ref="A37:B37"/>
    <mergeCell ref="C37:E37"/>
    <mergeCell ref="F37:G37"/>
    <mergeCell ref="H37:I37"/>
    <mergeCell ref="J37:K37"/>
    <mergeCell ref="A36:B36"/>
    <mergeCell ref="C36:E36"/>
    <mergeCell ref="F36:G36"/>
    <mergeCell ref="H36:I36"/>
    <mergeCell ref="J36:K36"/>
    <mergeCell ref="L36:O36"/>
    <mergeCell ref="L37:O37"/>
    <mergeCell ref="P37:R37"/>
    <mergeCell ref="S37:U37"/>
    <mergeCell ref="P35:R35"/>
    <mergeCell ref="S35:U35"/>
    <mergeCell ref="W35:X35"/>
    <mergeCell ref="Y35:Z35"/>
    <mergeCell ref="AA35:AB35"/>
    <mergeCell ref="AC35:AD35"/>
    <mergeCell ref="A35:B35"/>
    <mergeCell ref="C35:E35"/>
    <mergeCell ref="F35:G35"/>
    <mergeCell ref="H35:I35"/>
    <mergeCell ref="J35:K35"/>
    <mergeCell ref="L35:O35"/>
    <mergeCell ref="P34:R34"/>
    <mergeCell ref="S34:U34"/>
    <mergeCell ref="W34:X34"/>
    <mergeCell ref="Y34:Z34"/>
    <mergeCell ref="AA34:AB34"/>
    <mergeCell ref="AC34:AD34"/>
    <mergeCell ref="A34:B34"/>
    <mergeCell ref="C34:E34"/>
    <mergeCell ref="F34:G34"/>
    <mergeCell ref="H34:I34"/>
    <mergeCell ref="J34:K34"/>
    <mergeCell ref="L34:O34"/>
    <mergeCell ref="P33:R33"/>
    <mergeCell ref="S33:U33"/>
    <mergeCell ref="W33:X33"/>
    <mergeCell ref="Y33:Z33"/>
    <mergeCell ref="AA33:AB33"/>
    <mergeCell ref="AC33:AD33"/>
    <mergeCell ref="A33:B33"/>
    <mergeCell ref="C33:E33"/>
    <mergeCell ref="F33:G33"/>
    <mergeCell ref="H33:I33"/>
    <mergeCell ref="J33:K33"/>
    <mergeCell ref="L33:O33"/>
    <mergeCell ref="P32:R32"/>
    <mergeCell ref="S32:U32"/>
    <mergeCell ref="W32:X32"/>
    <mergeCell ref="Y32:Z32"/>
    <mergeCell ref="AA32:AB32"/>
    <mergeCell ref="AC32:AD32"/>
    <mergeCell ref="A32:B32"/>
    <mergeCell ref="C32:E32"/>
    <mergeCell ref="F32:G32"/>
    <mergeCell ref="H32:I32"/>
    <mergeCell ref="J32:K32"/>
    <mergeCell ref="L32:O32"/>
    <mergeCell ref="P31:R31"/>
    <mergeCell ref="S31:U31"/>
    <mergeCell ref="W31:X31"/>
    <mergeCell ref="Y31:Z31"/>
    <mergeCell ref="AA31:AB31"/>
    <mergeCell ref="AC31:AD31"/>
    <mergeCell ref="A31:B31"/>
    <mergeCell ref="C31:E31"/>
    <mergeCell ref="F31:G31"/>
    <mergeCell ref="H31:I31"/>
    <mergeCell ref="J31:K31"/>
    <mergeCell ref="L31:O31"/>
    <mergeCell ref="P30:R30"/>
    <mergeCell ref="S30:U30"/>
    <mergeCell ref="W30:X30"/>
    <mergeCell ref="Y30:Z30"/>
    <mergeCell ref="AA30:AB30"/>
    <mergeCell ref="AC30:AD30"/>
    <mergeCell ref="A30:B30"/>
    <mergeCell ref="C30:E30"/>
    <mergeCell ref="F30:G30"/>
    <mergeCell ref="H30:I30"/>
    <mergeCell ref="J30:K30"/>
    <mergeCell ref="L30:O30"/>
    <mergeCell ref="P29:R29"/>
    <mergeCell ref="S29:U29"/>
    <mergeCell ref="W29:X29"/>
    <mergeCell ref="Y29:Z29"/>
    <mergeCell ref="AA29:AB29"/>
    <mergeCell ref="AC29:AD29"/>
    <mergeCell ref="A29:B29"/>
    <mergeCell ref="C29:E29"/>
    <mergeCell ref="F29:G29"/>
    <mergeCell ref="H29:I29"/>
    <mergeCell ref="J29:K29"/>
    <mergeCell ref="L29:O29"/>
    <mergeCell ref="P28:R28"/>
    <mergeCell ref="S28:U28"/>
    <mergeCell ref="W28:X28"/>
    <mergeCell ref="Y28:Z28"/>
    <mergeCell ref="AA28:AB28"/>
    <mergeCell ref="AC28:AD28"/>
    <mergeCell ref="A28:B28"/>
    <mergeCell ref="C28:E28"/>
    <mergeCell ref="F28:G28"/>
    <mergeCell ref="H28:I28"/>
    <mergeCell ref="J28:K28"/>
    <mergeCell ref="L28:O28"/>
    <mergeCell ref="P27:R27"/>
    <mergeCell ref="S27:U27"/>
    <mergeCell ref="W27:X27"/>
    <mergeCell ref="Y27:Z27"/>
    <mergeCell ref="AA27:AB27"/>
    <mergeCell ref="AC27:AD27"/>
    <mergeCell ref="A27:B27"/>
    <mergeCell ref="C27:E27"/>
    <mergeCell ref="F27:G27"/>
    <mergeCell ref="H27:I27"/>
    <mergeCell ref="J27:K27"/>
    <mergeCell ref="L27:O27"/>
    <mergeCell ref="P26:R26"/>
    <mergeCell ref="S26:U26"/>
    <mergeCell ref="W26:X26"/>
    <mergeCell ref="Y26:Z26"/>
    <mergeCell ref="AA26:AB26"/>
    <mergeCell ref="AC26:AD26"/>
    <mergeCell ref="A26:B26"/>
    <mergeCell ref="C26:E26"/>
    <mergeCell ref="F26:G26"/>
    <mergeCell ref="H26:I26"/>
    <mergeCell ref="J26:K26"/>
    <mergeCell ref="L26:O26"/>
    <mergeCell ref="P25:R25"/>
    <mergeCell ref="S25:U25"/>
    <mergeCell ref="W25:X25"/>
    <mergeCell ref="Y25:Z25"/>
    <mergeCell ref="AA25:AB25"/>
    <mergeCell ref="AC25:AD25"/>
    <mergeCell ref="A25:B25"/>
    <mergeCell ref="C25:E25"/>
    <mergeCell ref="F25:G25"/>
    <mergeCell ref="H25:I25"/>
    <mergeCell ref="J25:K25"/>
    <mergeCell ref="L25:O25"/>
    <mergeCell ref="P24:R24"/>
    <mergeCell ref="S24:U24"/>
    <mergeCell ref="W24:X24"/>
    <mergeCell ref="Y24:Z24"/>
    <mergeCell ref="AA24:AB24"/>
    <mergeCell ref="AC24:AD24"/>
    <mergeCell ref="A24:B24"/>
    <mergeCell ref="C24:E24"/>
    <mergeCell ref="F24:G24"/>
    <mergeCell ref="H24:I24"/>
    <mergeCell ref="J24:K24"/>
    <mergeCell ref="L24:O24"/>
    <mergeCell ref="P23:R23"/>
    <mergeCell ref="S23:U23"/>
    <mergeCell ref="W23:X23"/>
    <mergeCell ref="Y23:Z23"/>
    <mergeCell ref="AA23:AB23"/>
    <mergeCell ref="AC23:AD23"/>
    <mergeCell ref="A23:B23"/>
    <mergeCell ref="C23:E23"/>
    <mergeCell ref="F23:G23"/>
    <mergeCell ref="H23:I23"/>
    <mergeCell ref="J23:K23"/>
    <mergeCell ref="L23:O23"/>
    <mergeCell ref="P22:R22"/>
    <mergeCell ref="S22:U22"/>
    <mergeCell ref="W22:X22"/>
    <mergeCell ref="Y22:Z22"/>
    <mergeCell ref="AA22:AB22"/>
    <mergeCell ref="AC22:AD22"/>
    <mergeCell ref="A22:B22"/>
    <mergeCell ref="C22:E22"/>
    <mergeCell ref="F22:G22"/>
    <mergeCell ref="H22:I22"/>
    <mergeCell ref="J22:K22"/>
    <mergeCell ref="L22:O22"/>
    <mergeCell ref="P21:R21"/>
    <mergeCell ref="S21:U21"/>
    <mergeCell ref="W21:X21"/>
    <mergeCell ref="Y21:Z21"/>
    <mergeCell ref="AA21:AB21"/>
    <mergeCell ref="AC21:AD21"/>
    <mergeCell ref="A21:B21"/>
    <mergeCell ref="C21:E21"/>
    <mergeCell ref="F21:G21"/>
    <mergeCell ref="H21:I21"/>
    <mergeCell ref="J21:K21"/>
    <mergeCell ref="L21:O21"/>
    <mergeCell ref="P20:R20"/>
    <mergeCell ref="S20:U20"/>
    <mergeCell ref="W20:X20"/>
    <mergeCell ref="Y20:Z20"/>
    <mergeCell ref="AA20:AB20"/>
    <mergeCell ref="AC20:AD20"/>
    <mergeCell ref="A20:B20"/>
    <mergeCell ref="C20:E20"/>
    <mergeCell ref="F20:G20"/>
    <mergeCell ref="H20:I20"/>
    <mergeCell ref="J20:K20"/>
    <mergeCell ref="L20:O20"/>
    <mergeCell ref="P19:R19"/>
    <mergeCell ref="S19:U19"/>
    <mergeCell ref="W19:X19"/>
    <mergeCell ref="Y19:Z19"/>
    <mergeCell ref="AA19:AB19"/>
    <mergeCell ref="AC19:AD19"/>
    <mergeCell ref="A19:B19"/>
    <mergeCell ref="C19:E19"/>
    <mergeCell ref="F19:G19"/>
    <mergeCell ref="H19:I19"/>
    <mergeCell ref="J19:K19"/>
    <mergeCell ref="L19:O19"/>
    <mergeCell ref="P18:R18"/>
    <mergeCell ref="S18:U18"/>
    <mergeCell ref="W18:X18"/>
    <mergeCell ref="Y18:Z18"/>
    <mergeCell ref="AA18:AB18"/>
    <mergeCell ref="AC18:AD18"/>
    <mergeCell ref="A18:B18"/>
    <mergeCell ref="C18:E18"/>
    <mergeCell ref="F18:G18"/>
    <mergeCell ref="H18:I18"/>
    <mergeCell ref="J18:K18"/>
    <mergeCell ref="L18:O18"/>
    <mergeCell ref="P17:R17"/>
    <mergeCell ref="S17:U17"/>
    <mergeCell ref="W17:X17"/>
    <mergeCell ref="Y17:Z17"/>
    <mergeCell ref="AA17:AB17"/>
    <mergeCell ref="AC17:AD17"/>
    <mergeCell ref="A17:B17"/>
    <mergeCell ref="C17:E17"/>
    <mergeCell ref="F17:G17"/>
    <mergeCell ref="H17:I17"/>
    <mergeCell ref="J17:K17"/>
    <mergeCell ref="L17:O17"/>
    <mergeCell ref="P16:R16"/>
    <mergeCell ref="S16:U16"/>
    <mergeCell ref="W16:X16"/>
    <mergeCell ref="Y16:Z16"/>
    <mergeCell ref="AA16:AB16"/>
    <mergeCell ref="AC16:AD16"/>
    <mergeCell ref="A16:B16"/>
    <mergeCell ref="C16:E16"/>
    <mergeCell ref="F16:G16"/>
    <mergeCell ref="H16:I16"/>
    <mergeCell ref="J16:K16"/>
    <mergeCell ref="L16:O16"/>
    <mergeCell ref="P15:R15"/>
    <mergeCell ref="S15:U15"/>
    <mergeCell ref="W15:X15"/>
    <mergeCell ref="Y15:Z15"/>
    <mergeCell ref="AA15:AB15"/>
    <mergeCell ref="AC15:AD15"/>
    <mergeCell ref="A15:B15"/>
    <mergeCell ref="C15:E15"/>
    <mergeCell ref="F15:G15"/>
    <mergeCell ref="H15:I15"/>
    <mergeCell ref="J15:K15"/>
    <mergeCell ref="L15:O15"/>
    <mergeCell ref="P14:R14"/>
    <mergeCell ref="S14:U14"/>
    <mergeCell ref="W14:X14"/>
    <mergeCell ref="Y14:Z14"/>
    <mergeCell ref="AA14:AB14"/>
    <mergeCell ref="AC14:AD14"/>
    <mergeCell ref="A14:B14"/>
    <mergeCell ref="C14:E14"/>
    <mergeCell ref="F14:G14"/>
    <mergeCell ref="H14:I14"/>
    <mergeCell ref="J14:K14"/>
    <mergeCell ref="L14:O14"/>
    <mergeCell ref="P13:R13"/>
    <mergeCell ref="S13:U13"/>
    <mergeCell ref="W13:X13"/>
    <mergeCell ref="Y13:Z13"/>
    <mergeCell ref="AA13:AB13"/>
    <mergeCell ref="AC13:AD13"/>
    <mergeCell ref="A13:B13"/>
    <mergeCell ref="C13:E13"/>
    <mergeCell ref="F13:G13"/>
    <mergeCell ref="H13:I13"/>
    <mergeCell ref="J13:K13"/>
    <mergeCell ref="L13:O13"/>
    <mergeCell ref="P12:R12"/>
    <mergeCell ref="S12:U12"/>
    <mergeCell ref="W12:X12"/>
    <mergeCell ref="Y12:Z12"/>
    <mergeCell ref="AA12:AB12"/>
    <mergeCell ref="AC12:AD12"/>
    <mergeCell ref="A12:B12"/>
    <mergeCell ref="C12:E12"/>
    <mergeCell ref="F12:G12"/>
    <mergeCell ref="H12:I12"/>
    <mergeCell ref="J12:K12"/>
    <mergeCell ref="L12:O12"/>
    <mergeCell ref="P11:R11"/>
    <mergeCell ref="S11:U11"/>
    <mergeCell ref="W11:X11"/>
    <mergeCell ref="Y11:Z11"/>
    <mergeCell ref="AA11:AB11"/>
    <mergeCell ref="AC11:AD11"/>
    <mergeCell ref="A11:B11"/>
    <mergeCell ref="C11:E11"/>
    <mergeCell ref="F11:G11"/>
    <mergeCell ref="H11:I11"/>
    <mergeCell ref="J11:K11"/>
    <mergeCell ref="L11:O11"/>
    <mergeCell ref="P10:R10"/>
    <mergeCell ref="S10:U10"/>
    <mergeCell ref="W10:X10"/>
    <mergeCell ref="Y10:Z10"/>
    <mergeCell ref="AA10:AB10"/>
    <mergeCell ref="AC10:AD10"/>
    <mergeCell ref="A10:B10"/>
    <mergeCell ref="C10:E10"/>
    <mergeCell ref="F10:G10"/>
    <mergeCell ref="H10:I10"/>
    <mergeCell ref="J10:K10"/>
    <mergeCell ref="L10:O10"/>
    <mergeCell ref="P9:R9"/>
    <mergeCell ref="S9:U9"/>
    <mergeCell ref="W9:X9"/>
    <mergeCell ref="Y9:Z9"/>
    <mergeCell ref="AA9:AB9"/>
    <mergeCell ref="AC9:AD9"/>
    <mergeCell ref="A9:B9"/>
    <mergeCell ref="C9:E9"/>
    <mergeCell ref="F9:G9"/>
    <mergeCell ref="H9:I9"/>
    <mergeCell ref="J9:K9"/>
    <mergeCell ref="L9:O9"/>
    <mergeCell ref="P8:R8"/>
    <mergeCell ref="S8:U8"/>
    <mergeCell ref="W8:X8"/>
    <mergeCell ref="Y8:Z8"/>
    <mergeCell ref="AA8:AB8"/>
    <mergeCell ref="AC8:AD8"/>
    <mergeCell ref="A8:B8"/>
    <mergeCell ref="C8:E8"/>
    <mergeCell ref="F8:G8"/>
    <mergeCell ref="H8:I8"/>
    <mergeCell ref="J8:K8"/>
    <mergeCell ref="L8:O8"/>
    <mergeCell ref="P7:R7"/>
    <mergeCell ref="S7:U7"/>
    <mergeCell ref="W7:X7"/>
    <mergeCell ref="Y7:Z7"/>
    <mergeCell ref="AA7:AB7"/>
    <mergeCell ref="AC7:AD7"/>
    <mergeCell ref="A7:B7"/>
    <mergeCell ref="C7:E7"/>
    <mergeCell ref="F7:G7"/>
    <mergeCell ref="H7:I7"/>
    <mergeCell ref="J7:K7"/>
    <mergeCell ref="L7:O7"/>
    <mergeCell ref="Y6:Z6"/>
    <mergeCell ref="AA6:AB6"/>
    <mergeCell ref="AC6:AD6"/>
    <mergeCell ref="A6:B6"/>
    <mergeCell ref="C6:E6"/>
    <mergeCell ref="F6:G6"/>
    <mergeCell ref="H6:I6"/>
    <mergeCell ref="J6:K6"/>
    <mergeCell ref="L6:O6"/>
    <mergeCell ref="A5:B5"/>
    <mergeCell ref="C5:E5"/>
    <mergeCell ref="F5:G5"/>
    <mergeCell ref="H5:I5"/>
    <mergeCell ref="J5:K5"/>
    <mergeCell ref="L5:O5"/>
    <mergeCell ref="P6:R6"/>
    <mergeCell ref="S6:U6"/>
    <mergeCell ref="W6:X6"/>
    <mergeCell ref="W4:X4"/>
    <mergeCell ref="Y4:Z4"/>
    <mergeCell ref="AA4:AB4"/>
    <mergeCell ref="AC4:AD4"/>
    <mergeCell ref="AH4:AI4"/>
    <mergeCell ref="AJ4:AL5"/>
    <mergeCell ref="AF5:AG5"/>
    <mergeCell ref="AH5:AI5"/>
    <mergeCell ref="A1:AC3"/>
    <mergeCell ref="AF3:AH3"/>
    <mergeCell ref="A4:B4"/>
    <mergeCell ref="C4:E4"/>
    <mergeCell ref="F4:G4"/>
    <mergeCell ref="H4:I4"/>
    <mergeCell ref="J4:K4"/>
    <mergeCell ref="L4:O4"/>
    <mergeCell ref="P4:R4"/>
    <mergeCell ref="S4:U4"/>
    <mergeCell ref="P5:R5"/>
    <mergeCell ref="S5:U5"/>
    <mergeCell ref="W5:X5"/>
    <mergeCell ref="Y5:Z5"/>
    <mergeCell ref="AA5:AB5"/>
    <mergeCell ref="AC5:AD5"/>
  </mergeCells>
  <conditionalFormatting sqref="J36:K36">
    <cfRule type="colorScale" priority="4">
      <colorScale>
        <cfvo type="num" val="0"/>
        <cfvo type="max"/>
        <color rgb="FFFF7128"/>
        <color theme="9"/>
      </colorScale>
    </cfRule>
    <cfRule type="colorScale" priority="5">
      <colorScale>
        <cfvo type="formula" val="$J$361&lt;0"/>
        <cfvo type="max"/>
        <color rgb="FFFF7128"/>
        <color theme="9"/>
      </colorScale>
    </cfRule>
    <cfRule type="colorScale" priority="6">
      <colorScale>
        <cfvo type="num" val="0"/>
        <cfvo type="max"/>
        <color theme="9"/>
        <color rgb="FFFFEF9C"/>
      </colorScale>
    </cfRule>
  </conditionalFormatting>
  <conditionalFormatting sqref="R49">
    <cfRule type="colorScale" priority="2">
      <colorScale>
        <cfvo type="formula" val=" $A$37 &lt; $R$49"/>
        <cfvo type="max"/>
        <color rgb="FFFF7128"/>
        <color rgb="FFFFEF9C"/>
      </colorScale>
    </cfRule>
    <cfRule type="colorScale" priority="3">
      <colorScale>
        <cfvo type="formula" val=" $A$37 &lt; $R$49"/>
        <cfvo type="max"/>
        <color rgb="FFFF7128"/>
        <color rgb="FFFFEF9C"/>
      </colorScale>
    </cfRule>
  </conditionalFormatting>
  <conditionalFormatting sqref="S49">
    <cfRule type="colorScale" priority="1">
      <colorScale>
        <cfvo type="min"/>
        <cfvo type="formula" val="$A$37 &gt;= $R$49"/>
        <color rgb="FFFF7128"/>
        <color rgb="FFFFEF9C"/>
      </colorScale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0EAA8-3E53-5743-9DF3-064CBBE78617}">
  <dimension ref="A1:AL54"/>
  <sheetViews>
    <sheetView workbookViewId="0">
      <selection activeCell="Y8" sqref="Y8:Z8"/>
    </sheetView>
  </sheetViews>
  <sheetFormatPr baseColWidth="10" defaultRowHeight="16" x14ac:dyDescent="0.2"/>
  <sheetData>
    <row r="1" spans="1:38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38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38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F3" s="1" t="s">
        <v>74</v>
      </c>
      <c r="AG3" s="1"/>
      <c r="AH3" s="1"/>
    </row>
    <row r="4" spans="1:38" x14ac:dyDescent="0.2">
      <c r="A4" s="1" t="s">
        <v>1</v>
      </c>
      <c r="B4" s="1"/>
      <c r="C4" s="5" t="s">
        <v>2</v>
      </c>
      <c r="D4" s="5"/>
      <c r="E4" s="5"/>
      <c r="F4" s="1" t="s">
        <v>3</v>
      </c>
      <c r="G4" s="1"/>
      <c r="H4" s="1" t="s">
        <v>14</v>
      </c>
      <c r="I4" s="1"/>
      <c r="J4" s="1" t="s">
        <v>10</v>
      </c>
      <c r="K4" s="1"/>
      <c r="L4" s="1" t="s">
        <v>5</v>
      </c>
      <c r="M4" s="1"/>
      <c r="N4" s="1"/>
      <c r="O4" s="1"/>
      <c r="P4" s="1" t="s">
        <v>17</v>
      </c>
      <c r="Q4" s="1"/>
      <c r="R4" s="1"/>
      <c r="S4" s="1" t="s">
        <v>16</v>
      </c>
      <c r="T4" s="1"/>
      <c r="U4" s="1"/>
      <c r="W4" s="1" t="s">
        <v>63</v>
      </c>
      <c r="X4" s="1"/>
      <c r="Y4" s="1" t="s">
        <v>4</v>
      </c>
      <c r="Z4" s="1"/>
      <c r="AA4" s="1" t="s">
        <v>64</v>
      </c>
      <c r="AB4" s="1"/>
      <c r="AC4" s="1" t="s">
        <v>4</v>
      </c>
      <c r="AD4" s="1"/>
      <c r="AF4" t="s">
        <v>75</v>
      </c>
      <c r="AH4" s="1" t="s">
        <v>76</v>
      </c>
      <c r="AI4" s="1"/>
      <c r="AJ4" s="2"/>
      <c r="AK4" s="2"/>
      <c r="AL4" s="2"/>
    </row>
    <row r="5" spans="1:38" x14ac:dyDescent="0.2">
      <c r="A5" s="6" t="s">
        <v>46</v>
      </c>
      <c r="B5" s="1"/>
      <c r="C5" s="5" t="s">
        <v>6</v>
      </c>
      <c r="D5" s="5"/>
      <c r="E5" s="5"/>
      <c r="F5" s="1" t="s">
        <v>7</v>
      </c>
      <c r="G5" s="1"/>
      <c r="H5" s="1" t="s">
        <v>8</v>
      </c>
      <c r="I5" s="1"/>
      <c r="J5" s="1">
        <v>65000</v>
      </c>
      <c r="K5" s="1"/>
      <c r="L5" s="1" t="s">
        <v>9</v>
      </c>
      <c r="M5" s="1"/>
      <c r="N5" s="1"/>
      <c r="O5" s="1"/>
      <c r="P5" s="1">
        <v>5900000</v>
      </c>
      <c r="Q5" s="1"/>
      <c r="R5" s="1"/>
      <c r="S5" s="1" t="s">
        <v>18</v>
      </c>
      <c r="T5" s="1"/>
      <c r="U5" s="1"/>
      <c r="W5" s="1" t="s">
        <v>65</v>
      </c>
      <c r="X5" s="1"/>
      <c r="Y5" s="1">
        <v>58000</v>
      </c>
      <c r="Z5" s="1"/>
      <c r="AA5" s="1" t="s">
        <v>66</v>
      </c>
      <c r="AB5" s="1"/>
      <c r="AC5" s="1"/>
      <c r="AD5" s="1"/>
      <c r="AF5" s="1"/>
      <c r="AG5" s="1"/>
      <c r="AH5" s="1">
        <f>AF5*85</f>
        <v>0</v>
      </c>
      <c r="AI5" s="1"/>
      <c r="AJ5" s="2"/>
      <c r="AK5" s="2"/>
      <c r="AL5" s="2"/>
    </row>
    <row r="6" spans="1:38" x14ac:dyDescent="0.2">
      <c r="A6" s="1"/>
      <c r="B6" s="1"/>
      <c r="C6" s="5" t="s">
        <v>11</v>
      </c>
      <c r="D6" s="5"/>
      <c r="E6" s="5"/>
      <c r="F6" s="1" t="s">
        <v>12</v>
      </c>
      <c r="G6" s="1"/>
      <c r="H6" s="1" t="s">
        <v>13</v>
      </c>
      <c r="I6" s="1"/>
      <c r="J6" s="1"/>
      <c r="K6" s="1"/>
      <c r="L6" s="7" t="s">
        <v>90</v>
      </c>
      <c r="M6" s="7"/>
      <c r="N6" s="7"/>
      <c r="O6" s="7"/>
      <c r="P6" s="1">
        <v>150000</v>
      </c>
      <c r="Q6" s="1"/>
      <c r="R6" s="1"/>
      <c r="S6" s="1" t="s">
        <v>19</v>
      </c>
      <c r="T6" s="1"/>
      <c r="U6" s="1"/>
      <c r="W6" s="1" t="s">
        <v>68</v>
      </c>
      <c r="X6" s="1"/>
      <c r="Y6" s="1"/>
      <c r="Z6" s="1"/>
      <c r="AA6" s="1" t="s">
        <v>67</v>
      </c>
      <c r="AB6" s="1"/>
      <c r="AC6" s="1"/>
      <c r="AD6" s="1"/>
    </row>
    <row r="7" spans="1:38" x14ac:dyDescent="0.2">
      <c r="A7" s="1"/>
      <c r="B7" s="1"/>
      <c r="C7" s="5" t="s">
        <v>20</v>
      </c>
      <c r="D7" s="5"/>
      <c r="E7" s="5"/>
      <c r="F7" s="1" t="s">
        <v>12</v>
      </c>
      <c r="G7" s="1"/>
      <c r="H7" s="1" t="s">
        <v>21</v>
      </c>
      <c r="I7" s="1"/>
      <c r="J7" s="1">
        <v>13000</v>
      </c>
      <c r="K7" s="1"/>
      <c r="L7" s="1" t="s">
        <v>15</v>
      </c>
      <c r="M7" s="1"/>
      <c r="N7" s="1"/>
      <c r="O7" s="1"/>
      <c r="P7" s="1">
        <v>160000</v>
      </c>
      <c r="Q7" s="1"/>
      <c r="R7" s="1"/>
      <c r="S7" s="1" t="s">
        <v>22</v>
      </c>
      <c r="T7" s="1"/>
      <c r="U7" s="1"/>
      <c r="W7" s="1" t="s">
        <v>88</v>
      </c>
      <c r="X7" s="1"/>
      <c r="Y7" s="1">
        <f>MAX(0, 'Nov2025'!R51)</f>
        <v>0</v>
      </c>
      <c r="Z7" s="1"/>
      <c r="AA7" s="1"/>
      <c r="AB7" s="1"/>
      <c r="AC7" s="1"/>
      <c r="AD7" s="1"/>
    </row>
    <row r="8" spans="1:38" x14ac:dyDescent="0.2">
      <c r="A8" s="1"/>
      <c r="B8" s="1"/>
      <c r="C8" s="5" t="s">
        <v>85</v>
      </c>
      <c r="D8" s="5"/>
      <c r="E8" s="5"/>
      <c r="F8" s="1" t="s">
        <v>7</v>
      </c>
      <c r="G8" s="1"/>
      <c r="H8" s="1" t="s">
        <v>23</v>
      </c>
      <c r="I8" s="1"/>
      <c r="J8" s="1">
        <v>13000</v>
      </c>
      <c r="K8" s="1"/>
      <c r="L8" s="1" t="s">
        <v>24</v>
      </c>
      <c r="M8" s="1"/>
      <c r="N8" s="1"/>
      <c r="O8" s="1"/>
      <c r="P8" s="1">
        <v>345000</v>
      </c>
      <c r="Q8" s="1"/>
      <c r="R8" s="1"/>
      <c r="S8" s="1" t="s">
        <v>18</v>
      </c>
      <c r="T8" s="1"/>
      <c r="U8" s="1"/>
      <c r="W8" s="1"/>
      <c r="X8" s="1"/>
      <c r="Y8" s="1"/>
      <c r="Z8" s="1"/>
      <c r="AA8" s="1"/>
      <c r="AB8" s="1"/>
      <c r="AC8" s="1"/>
      <c r="AD8" s="1"/>
    </row>
    <row r="9" spans="1:38" x14ac:dyDescent="0.2">
      <c r="A9" s="1"/>
      <c r="B9" s="1"/>
      <c r="C9" s="5" t="s">
        <v>28</v>
      </c>
      <c r="D9" s="5"/>
      <c r="E9" s="5"/>
      <c r="F9" s="1" t="s">
        <v>7</v>
      </c>
      <c r="G9" s="1"/>
      <c r="H9" s="1" t="s">
        <v>25</v>
      </c>
      <c r="I9" s="1"/>
      <c r="J9" s="1">
        <v>15000</v>
      </c>
      <c r="K9" s="1"/>
      <c r="L9" s="1" t="s">
        <v>26</v>
      </c>
      <c r="M9" s="1"/>
      <c r="N9" s="1"/>
      <c r="O9" s="1"/>
      <c r="P9" s="1"/>
      <c r="Q9" s="1"/>
      <c r="R9" s="1"/>
      <c r="S9" s="1" t="s">
        <v>27</v>
      </c>
      <c r="T9" s="1"/>
      <c r="U9" s="1"/>
      <c r="W9" s="1"/>
      <c r="X9" s="1"/>
      <c r="Y9" s="1"/>
      <c r="Z9" s="1"/>
      <c r="AA9" s="1"/>
      <c r="AB9" s="1"/>
      <c r="AC9" s="1"/>
      <c r="AD9" s="1"/>
    </row>
    <row r="10" spans="1:38" x14ac:dyDescent="0.2">
      <c r="A10" s="1"/>
      <c r="B10" s="1"/>
      <c r="C10" s="5" t="s">
        <v>29</v>
      </c>
      <c r="D10" s="5"/>
      <c r="E10" s="5"/>
      <c r="F10" s="1" t="s">
        <v>7</v>
      </c>
      <c r="G10" s="1"/>
      <c r="H10" s="1" t="s">
        <v>30</v>
      </c>
      <c r="I10" s="1"/>
      <c r="J10" s="1">
        <v>25000</v>
      </c>
      <c r="K10" s="1"/>
      <c r="L10" s="1" t="s">
        <v>31</v>
      </c>
      <c r="M10" s="1"/>
      <c r="N10" s="1"/>
      <c r="O10" s="1"/>
      <c r="P10" s="1"/>
      <c r="Q10" s="1"/>
      <c r="R10" s="1"/>
      <c r="S10" s="1" t="s">
        <v>32</v>
      </c>
      <c r="T10" s="1"/>
      <c r="U10" s="1"/>
      <c r="W10" s="1" t="s">
        <v>73</v>
      </c>
      <c r="X10" s="1"/>
      <c r="Y10" s="1">
        <f>AH5</f>
        <v>0</v>
      </c>
      <c r="Z10" s="1"/>
      <c r="AA10" s="1"/>
      <c r="AB10" s="1"/>
      <c r="AC10" s="1"/>
      <c r="AD10" s="1"/>
    </row>
    <row r="11" spans="1:38" x14ac:dyDescent="0.2">
      <c r="A11" s="1"/>
      <c r="B11" s="1"/>
      <c r="C11" s="5" t="s">
        <v>33</v>
      </c>
      <c r="D11" s="5"/>
      <c r="E11" s="5"/>
      <c r="F11" s="1" t="s">
        <v>7</v>
      </c>
      <c r="G11" s="1"/>
      <c r="H11" s="1" t="s">
        <v>25</v>
      </c>
      <c r="I11" s="1"/>
      <c r="J11" s="1">
        <v>10000</v>
      </c>
      <c r="K11" s="1"/>
      <c r="L11" s="1" t="s">
        <v>24</v>
      </c>
      <c r="M11" s="1"/>
      <c r="N11" s="1"/>
      <c r="O11" s="1"/>
      <c r="P11" s="1"/>
      <c r="Q11" s="1"/>
      <c r="R11" s="1"/>
      <c r="S11" s="1" t="s">
        <v>34</v>
      </c>
      <c r="T11" s="1"/>
      <c r="U11" s="1"/>
      <c r="W11" s="1"/>
      <c r="X11" s="1"/>
      <c r="Y11" s="1"/>
      <c r="Z11" s="1"/>
      <c r="AA11" s="1"/>
      <c r="AB11" s="1"/>
      <c r="AC11" s="1"/>
      <c r="AD11" s="1"/>
    </row>
    <row r="12" spans="1:38" x14ac:dyDescent="0.2">
      <c r="A12" s="1"/>
      <c r="B12" s="1"/>
      <c r="C12" s="5" t="s">
        <v>35</v>
      </c>
      <c r="D12" s="5"/>
      <c r="E12" s="5"/>
      <c r="F12" s="1" t="s">
        <v>7</v>
      </c>
      <c r="G12" s="1"/>
      <c r="H12" s="1" t="s">
        <v>36</v>
      </c>
      <c r="I12" s="1"/>
      <c r="J12" s="1">
        <v>15000</v>
      </c>
      <c r="K12" s="1"/>
      <c r="L12" s="7" t="s">
        <v>92</v>
      </c>
      <c r="M12" s="7"/>
      <c r="N12" s="7"/>
      <c r="O12" s="7"/>
      <c r="P12" s="1">
        <v>90000</v>
      </c>
      <c r="Q12" s="1"/>
      <c r="R12" s="1"/>
      <c r="S12" s="1" t="s">
        <v>38</v>
      </c>
      <c r="T12" s="1"/>
      <c r="U12" s="1"/>
      <c r="W12" s="1"/>
      <c r="X12" s="1"/>
      <c r="Y12" s="1"/>
      <c r="Z12" s="1"/>
      <c r="AA12" s="1"/>
      <c r="AB12" s="1"/>
      <c r="AC12" s="1"/>
      <c r="AD12" s="1"/>
    </row>
    <row r="13" spans="1:38" x14ac:dyDescent="0.2">
      <c r="A13" s="1"/>
      <c r="B13" s="1"/>
      <c r="C13" s="5" t="s">
        <v>39</v>
      </c>
      <c r="D13" s="5"/>
      <c r="E13" s="5"/>
      <c r="F13" s="1" t="s">
        <v>7</v>
      </c>
      <c r="G13" s="1"/>
      <c r="H13" s="1" t="s">
        <v>40</v>
      </c>
      <c r="I13" s="1"/>
      <c r="J13" s="1">
        <v>10000</v>
      </c>
      <c r="K13" s="1"/>
      <c r="L13" s="1" t="s">
        <v>41</v>
      </c>
      <c r="M13" s="1"/>
      <c r="N13" s="1"/>
      <c r="O13" s="1"/>
      <c r="P13" s="1"/>
      <c r="Q13" s="1"/>
      <c r="R13" s="1"/>
      <c r="S13" s="1" t="s">
        <v>34</v>
      </c>
      <c r="T13" s="1"/>
      <c r="U13" s="1"/>
      <c r="W13" s="1"/>
      <c r="X13" s="1"/>
      <c r="Y13" s="1"/>
      <c r="Z13" s="1"/>
      <c r="AA13" s="1"/>
      <c r="AB13" s="1"/>
      <c r="AC13" s="1"/>
      <c r="AD13" s="1"/>
    </row>
    <row r="14" spans="1:38" x14ac:dyDescent="0.2">
      <c r="A14" s="1"/>
      <c r="B14" s="1"/>
      <c r="C14" s="5" t="s">
        <v>42</v>
      </c>
      <c r="D14" s="5"/>
      <c r="E14" s="5"/>
      <c r="F14" s="1" t="s">
        <v>7</v>
      </c>
      <c r="G14" s="1"/>
      <c r="H14" s="1" t="s">
        <v>44</v>
      </c>
      <c r="I14" s="1"/>
      <c r="J14" s="1">
        <v>10000</v>
      </c>
      <c r="K14" s="1"/>
      <c r="L14" s="1" t="s">
        <v>43</v>
      </c>
      <c r="M14" s="1"/>
      <c r="N14" s="1"/>
      <c r="O14" s="1"/>
      <c r="P14" s="1"/>
      <c r="Q14" s="1"/>
      <c r="R14" s="1"/>
      <c r="S14" s="1" t="s">
        <v>45</v>
      </c>
      <c r="T14" s="1"/>
      <c r="U14" s="1"/>
      <c r="W14" s="1"/>
      <c r="X14" s="1"/>
      <c r="Y14" s="1"/>
      <c r="Z14" s="1"/>
      <c r="AA14" s="1"/>
      <c r="AB14" s="1"/>
      <c r="AC14" s="1"/>
      <c r="AD14" s="1"/>
    </row>
    <row r="15" spans="1:38" x14ac:dyDescent="0.2">
      <c r="A15" s="1" t="s">
        <v>47</v>
      </c>
      <c r="B15" s="1"/>
      <c r="C15" s="5" t="s">
        <v>48</v>
      </c>
      <c r="D15" s="5"/>
      <c r="E15" s="5"/>
      <c r="F15" s="1" t="s">
        <v>7</v>
      </c>
      <c r="G15" s="1"/>
      <c r="H15" s="1" t="s">
        <v>25</v>
      </c>
      <c r="I15" s="1"/>
      <c r="J15" s="1">
        <v>6000</v>
      </c>
      <c r="K15" s="1"/>
      <c r="L15" s="1" t="s">
        <v>49</v>
      </c>
      <c r="M15" s="1"/>
      <c r="N15" s="1"/>
      <c r="O15" s="1"/>
      <c r="P15" s="1"/>
      <c r="Q15" s="1"/>
      <c r="R15" s="1"/>
      <c r="S15" s="1" t="s">
        <v>34</v>
      </c>
      <c r="T15" s="1"/>
      <c r="U15" s="1"/>
      <c r="W15" s="1"/>
      <c r="X15" s="1"/>
      <c r="Y15" s="1"/>
      <c r="Z15" s="1"/>
      <c r="AA15" s="1"/>
      <c r="AB15" s="1"/>
      <c r="AC15" s="1"/>
      <c r="AD15" s="1"/>
    </row>
    <row r="16" spans="1:38" x14ac:dyDescent="0.2">
      <c r="A16" s="1"/>
      <c r="B16" s="1"/>
      <c r="C16" s="5" t="s">
        <v>50</v>
      </c>
      <c r="D16" s="5"/>
      <c r="E16" s="5"/>
      <c r="F16" s="1" t="s">
        <v>7</v>
      </c>
      <c r="G16" s="1"/>
      <c r="H16" s="1" t="s">
        <v>51</v>
      </c>
      <c r="I16" s="1"/>
      <c r="J16" s="1">
        <v>20000</v>
      </c>
      <c r="K16" s="1"/>
      <c r="L16" s="1" t="s">
        <v>52</v>
      </c>
      <c r="M16" s="1"/>
      <c r="N16" s="1"/>
      <c r="O16" s="1"/>
      <c r="P16" s="1">
        <v>528000</v>
      </c>
      <c r="Q16" s="1"/>
      <c r="R16" s="1"/>
      <c r="S16" s="1" t="s">
        <v>34</v>
      </c>
      <c r="T16" s="1"/>
      <c r="U16" s="1"/>
      <c r="W16" s="1"/>
      <c r="X16" s="1"/>
      <c r="Y16" s="1"/>
      <c r="Z16" s="1"/>
      <c r="AA16" s="1"/>
      <c r="AB16" s="1"/>
      <c r="AC16" s="1"/>
      <c r="AD16" s="1"/>
    </row>
    <row r="17" spans="1:30" x14ac:dyDescent="0.2">
      <c r="A17" s="1"/>
      <c r="B17" s="1"/>
      <c r="C17" s="5" t="s">
        <v>53</v>
      </c>
      <c r="D17" s="5"/>
      <c r="E17" s="5"/>
      <c r="F17" s="1" t="s">
        <v>7</v>
      </c>
      <c r="G17" s="1"/>
      <c r="H17" s="1" t="s">
        <v>54</v>
      </c>
      <c r="I17" s="1"/>
      <c r="J17" s="1">
        <v>25000</v>
      </c>
      <c r="K17" s="1"/>
      <c r="L17" s="1" t="s">
        <v>52</v>
      </c>
      <c r="M17" s="1"/>
      <c r="N17" s="1"/>
      <c r="O17" s="1"/>
      <c r="P17" s="1">
        <v>724000</v>
      </c>
      <c r="Q17" s="1"/>
      <c r="R17" s="1"/>
      <c r="S17" s="1" t="s">
        <v>34</v>
      </c>
      <c r="T17" s="1"/>
      <c r="U17" s="1"/>
      <c r="W17" s="1"/>
      <c r="X17" s="1"/>
      <c r="Y17" s="1"/>
      <c r="Z17" s="1"/>
      <c r="AA17" s="1"/>
      <c r="AB17" s="1"/>
      <c r="AC17" s="1"/>
      <c r="AD17" s="1"/>
    </row>
    <row r="18" spans="1:30" x14ac:dyDescent="0.2">
      <c r="A18" s="1"/>
      <c r="B18" s="1"/>
      <c r="C18" s="5" t="s">
        <v>39</v>
      </c>
      <c r="D18" s="5"/>
      <c r="E18" s="5"/>
      <c r="F18" s="1" t="s">
        <v>7</v>
      </c>
      <c r="G18" s="1"/>
      <c r="H18" s="1" t="s">
        <v>25</v>
      </c>
      <c r="I18" s="1"/>
      <c r="J18" s="1">
        <v>10000</v>
      </c>
      <c r="K18" s="1"/>
      <c r="L18" s="1" t="s">
        <v>41</v>
      </c>
      <c r="M18" s="1"/>
      <c r="N18" s="1"/>
      <c r="O18" s="1"/>
      <c r="P18" s="1"/>
      <c r="Q18" s="1"/>
      <c r="R18" s="1"/>
      <c r="S18" s="1" t="s">
        <v>34</v>
      </c>
      <c r="T18" s="1"/>
      <c r="U18" s="1"/>
      <c r="W18" s="1"/>
      <c r="X18" s="1"/>
      <c r="Y18" s="1"/>
      <c r="Z18" s="1"/>
      <c r="AA18" s="1"/>
      <c r="AB18" s="1"/>
      <c r="AC18" s="1"/>
      <c r="AD18" s="1"/>
    </row>
    <row r="19" spans="1:30" x14ac:dyDescent="0.2">
      <c r="A19" s="1" t="s">
        <v>55</v>
      </c>
      <c r="B19" s="1"/>
      <c r="C19" s="5" t="s">
        <v>56</v>
      </c>
      <c r="D19" s="5"/>
      <c r="E19" s="5"/>
      <c r="F19" s="1" t="s">
        <v>7</v>
      </c>
      <c r="G19" s="1"/>
      <c r="H19" s="1" t="s">
        <v>25</v>
      </c>
      <c r="I19" s="1"/>
      <c r="J19" s="1">
        <v>21000</v>
      </c>
      <c r="K19" s="1"/>
      <c r="L19" s="1" t="s">
        <v>57</v>
      </c>
      <c r="M19" s="1"/>
      <c r="N19" s="1"/>
      <c r="O19" s="1"/>
      <c r="P19" s="1">
        <v>1000000</v>
      </c>
      <c r="Q19" s="1"/>
      <c r="R19" s="1"/>
      <c r="S19" s="1" t="s">
        <v>34</v>
      </c>
      <c r="T19" s="1"/>
      <c r="U19" s="1"/>
      <c r="W19" s="1"/>
      <c r="X19" s="1"/>
      <c r="Y19" s="1"/>
      <c r="Z19" s="1"/>
      <c r="AA19" s="1"/>
      <c r="AB19" s="1"/>
      <c r="AC19" s="1"/>
      <c r="AD19" s="1"/>
    </row>
    <row r="20" spans="1:30" x14ac:dyDescent="0.2">
      <c r="A20" s="1"/>
      <c r="B20" s="1"/>
      <c r="C20" s="5" t="s">
        <v>58</v>
      </c>
      <c r="D20" s="5"/>
      <c r="E20" s="5"/>
      <c r="F20" s="1" t="s">
        <v>7</v>
      </c>
      <c r="G20" s="1"/>
      <c r="H20" s="1" t="s">
        <v>59</v>
      </c>
      <c r="I20" s="1"/>
      <c r="J20" s="1">
        <v>6000</v>
      </c>
      <c r="K20" s="1"/>
      <c r="L20" s="1" t="s">
        <v>57</v>
      </c>
      <c r="M20" s="1"/>
      <c r="N20" s="1"/>
      <c r="O20" s="1"/>
      <c r="P20" s="1">
        <v>1000000</v>
      </c>
      <c r="Q20" s="1"/>
      <c r="R20" s="1"/>
      <c r="S20" s="1" t="s">
        <v>34</v>
      </c>
      <c r="T20" s="1"/>
      <c r="U20" s="1"/>
      <c r="W20" s="1"/>
      <c r="X20" s="1"/>
      <c r="Y20" s="1"/>
      <c r="Z20" s="1"/>
      <c r="AA20" s="1"/>
      <c r="AB20" s="1"/>
      <c r="AC20" s="1"/>
      <c r="AD20" s="1"/>
    </row>
    <row r="21" spans="1:30" x14ac:dyDescent="0.2">
      <c r="A21" s="1"/>
      <c r="B21" s="1"/>
      <c r="C21" s="5" t="s">
        <v>60</v>
      </c>
      <c r="D21" s="5"/>
      <c r="E21" s="5"/>
      <c r="F21" s="1" t="s">
        <v>7</v>
      </c>
      <c r="G21" s="1"/>
      <c r="H21" s="1" t="s">
        <v>25</v>
      </c>
      <c r="I21" s="1"/>
      <c r="J21" s="1">
        <v>3000</v>
      </c>
      <c r="K21" s="1"/>
      <c r="L21" s="1" t="s">
        <v>61</v>
      </c>
      <c r="M21" s="1"/>
      <c r="N21" s="1"/>
      <c r="O21" s="1"/>
      <c r="P21" s="1"/>
      <c r="Q21" s="1"/>
      <c r="R21" s="1"/>
      <c r="S21" s="1" t="s">
        <v>34</v>
      </c>
      <c r="T21" s="1"/>
      <c r="U21" s="1"/>
      <c r="W21" s="1"/>
      <c r="X21" s="1"/>
      <c r="Y21" s="1"/>
      <c r="Z21" s="1"/>
      <c r="AA21" s="1"/>
      <c r="AB21" s="1"/>
      <c r="AC21" s="1"/>
      <c r="AD21" s="1"/>
    </row>
    <row r="22" spans="1:30" x14ac:dyDescent="0.2">
      <c r="A22" s="1"/>
      <c r="B22" s="1"/>
      <c r="C22" s="5" t="s">
        <v>62</v>
      </c>
      <c r="D22" s="5"/>
      <c r="E22" s="5"/>
      <c r="F22" s="1" t="s">
        <v>7</v>
      </c>
      <c r="G22" s="1"/>
      <c r="H22" s="1" t="s">
        <v>38</v>
      </c>
      <c r="I22" s="1"/>
      <c r="J22" s="1"/>
      <c r="K22" s="1"/>
      <c r="L22" s="7" t="s">
        <v>90</v>
      </c>
      <c r="M22" s="7"/>
      <c r="N22" s="7"/>
      <c r="O22" s="7"/>
      <c r="P22" s="1">
        <v>100000</v>
      </c>
      <c r="Q22" s="1"/>
      <c r="R22" s="1"/>
      <c r="S22" s="1" t="s">
        <v>19</v>
      </c>
      <c r="T22" s="1"/>
      <c r="U22" s="1"/>
      <c r="W22" s="1"/>
      <c r="X22" s="1"/>
      <c r="Y22" s="1"/>
      <c r="Z22" s="1"/>
      <c r="AA22" s="1"/>
      <c r="AB22" s="1"/>
      <c r="AC22" s="1"/>
      <c r="AD22" s="1"/>
    </row>
    <row r="23" spans="1:30" x14ac:dyDescent="0.2">
      <c r="A23" s="1"/>
      <c r="B23" s="1"/>
      <c r="C23" s="5" t="s">
        <v>29</v>
      </c>
      <c r="D23" s="5"/>
      <c r="E23" s="5"/>
      <c r="F23" s="1" t="s">
        <v>7</v>
      </c>
      <c r="G23" s="1"/>
      <c r="H23" s="1" t="s">
        <v>30</v>
      </c>
      <c r="I23" s="1"/>
      <c r="J23" s="1">
        <v>30000</v>
      </c>
      <c r="K23" s="1"/>
      <c r="L23" s="1" t="s">
        <v>31</v>
      </c>
      <c r="M23" s="1"/>
      <c r="N23" s="1"/>
      <c r="O23" s="1"/>
      <c r="P23" s="1"/>
      <c r="Q23" s="1"/>
      <c r="R23" s="1"/>
      <c r="S23" s="1" t="s">
        <v>32</v>
      </c>
      <c r="T23" s="1"/>
      <c r="U23" s="1"/>
      <c r="W23" s="1"/>
      <c r="X23" s="1"/>
      <c r="Y23" s="1"/>
      <c r="Z23" s="1"/>
      <c r="AA23" s="1"/>
      <c r="AB23" s="1"/>
      <c r="AC23" s="1"/>
      <c r="AD23" s="1"/>
    </row>
    <row r="24" spans="1:30" x14ac:dyDescent="0.2">
      <c r="A24" s="1"/>
      <c r="B24" s="1"/>
      <c r="C24" s="5"/>
      <c r="D24" s="5"/>
      <c r="E24" s="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W24" s="1"/>
      <c r="X24" s="1"/>
      <c r="Y24" s="1"/>
      <c r="Z24" s="1"/>
      <c r="AA24" s="1"/>
      <c r="AB24" s="1"/>
      <c r="AC24" s="1"/>
      <c r="AD24" s="1"/>
    </row>
    <row r="25" spans="1:30" x14ac:dyDescent="0.2">
      <c r="A25" s="1"/>
      <c r="B25" s="1"/>
      <c r="C25" s="5"/>
      <c r="D25" s="5"/>
      <c r="E25" s="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W25" s="1"/>
      <c r="X25" s="1"/>
      <c r="Y25" s="1"/>
      <c r="Z25" s="1"/>
      <c r="AA25" s="1"/>
      <c r="AB25" s="1"/>
      <c r="AC25" s="1"/>
      <c r="AD25" s="1"/>
    </row>
    <row r="26" spans="1:30" x14ac:dyDescent="0.2">
      <c r="A26" s="1"/>
      <c r="B26" s="1"/>
      <c r="C26" s="5"/>
      <c r="D26" s="5"/>
      <c r="E26" s="5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W26" s="1"/>
      <c r="X26" s="1"/>
      <c r="Y26" s="1"/>
      <c r="Z26" s="1"/>
      <c r="AA26" s="1"/>
      <c r="AB26" s="1"/>
      <c r="AC26" s="1"/>
      <c r="AD26" s="1"/>
    </row>
    <row r="27" spans="1:30" x14ac:dyDescent="0.2">
      <c r="A27" s="1"/>
      <c r="B27" s="1"/>
      <c r="C27" s="5"/>
      <c r="D27" s="5"/>
      <c r="E27" s="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W27" s="1"/>
      <c r="X27" s="1"/>
      <c r="Y27" s="1"/>
      <c r="Z27" s="1"/>
      <c r="AA27" s="1"/>
      <c r="AB27" s="1"/>
      <c r="AC27" s="1"/>
      <c r="AD27" s="1"/>
    </row>
    <row r="28" spans="1:30" x14ac:dyDescent="0.2">
      <c r="A28" s="1"/>
      <c r="B28" s="1"/>
      <c r="C28" s="5"/>
      <c r="D28" s="5"/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W28" s="1"/>
      <c r="X28" s="1"/>
      <c r="Y28" s="1"/>
      <c r="Z28" s="1"/>
      <c r="AA28" s="1"/>
      <c r="AB28" s="1"/>
      <c r="AC28" s="1"/>
      <c r="AD28" s="1"/>
    </row>
    <row r="29" spans="1:30" x14ac:dyDescent="0.2">
      <c r="A29" s="1"/>
      <c r="B29" s="1"/>
      <c r="C29" s="5"/>
      <c r="D29" s="5"/>
      <c r="E29" s="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W29" s="1"/>
      <c r="X29" s="1"/>
      <c r="Y29" s="1"/>
      <c r="Z29" s="1"/>
      <c r="AA29" s="1"/>
      <c r="AB29" s="1"/>
      <c r="AC29" s="1"/>
      <c r="AD29" s="1"/>
    </row>
    <row r="30" spans="1:30" x14ac:dyDescent="0.2">
      <c r="A30" s="1"/>
      <c r="B30" s="1"/>
      <c r="C30" s="5"/>
      <c r="D30" s="5"/>
      <c r="E30" s="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W30" s="1"/>
      <c r="X30" s="1"/>
      <c r="Y30" s="1"/>
      <c r="Z30" s="1"/>
      <c r="AA30" s="1"/>
      <c r="AB30" s="1"/>
      <c r="AC30" s="1"/>
      <c r="AD30" s="1"/>
    </row>
    <row r="31" spans="1:30" x14ac:dyDescent="0.2">
      <c r="A31" s="1"/>
      <c r="B31" s="1"/>
      <c r="C31" s="5"/>
      <c r="D31" s="5"/>
      <c r="E31" s="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W31" s="1"/>
      <c r="X31" s="1"/>
      <c r="Y31" s="1"/>
      <c r="Z31" s="1"/>
      <c r="AA31" s="1"/>
      <c r="AB31" s="1"/>
      <c r="AC31" s="1"/>
      <c r="AD31" s="1"/>
    </row>
    <row r="32" spans="1:30" x14ac:dyDescent="0.2">
      <c r="A32" s="1"/>
      <c r="B32" s="1"/>
      <c r="C32" s="5"/>
      <c r="D32" s="5"/>
      <c r="E32" s="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W32" s="1"/>
      <c r="X32" s="1"/>
      <c r="Y32" s="1"/>
      <c r="Z32" s="1"/>
      <c r="AA32" s="1"/>
      <c r="AB32" s="1"/>
      <c r="AC32" s="1"/>
      <c r="AD32" s="1"/>
    </row>
    <row r="33" spans="1:30" x14ac:dyDescent="0.2">
      <c r="A33" s="1"/>
      <c r="B33" s="1"/>
      <c r="C33" s="5"/>
      <c r="D33" s="5"/>
      <c r="E33" s="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W33" s="1"/>
      <c r="X33" s="1"/>
      <c r="Y33" s="1"/>
      <c r="Z33" s="1"/>
      <c r="AA33" s="1"/>
      <c r="AB33" s="1"/>
      <c r="AC33" s="1"/>
      <c r="AD33" s="1"/>
    </row>
    <row r="34" spans="1:30" x14ac:dyDescent="0.2">
      <c r="A34" s="1"/>
      <c r="B34" s="1"/>
      <c r="C34" s="5"/>
      <c r="D34" s="5"/>
      <c r="E34" s="5"/>
      <c r="F34" s="1"/>
      <c r="G34" s="1"/>
      <c r="H34" s="1" t="s">
        <v>70</v>
      </c>
      <c r="I34" s="1"/>
      <c r="J34" s="1">
        <f>SUM(J5:J23)</f>
        <v>297000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W34" s="1"/>
      <c r="X34" s="1"/>
      <c r="Y34" s="1">
        <f>SUM(Y5:Z33)</f>
        <v>58000</v>
      </c>
      <c r="Z34" s="1"/>
      <c r="AA34" s="1"/>
      <c r="AB34" s="1"/>
      <c r="AC34" s="1">
        <f>SUM(AC5:AD33)</f>
        <v>0</v>
      </c>
      <c r="AD34" s="1"/>
    </row>
    <row r="35" spans="1:30" x14ac:dyDescent="0.2">
      <c r="A35" s="1"/>
      <c r="B35" s="1"/>
      <c r="C35" s="5"/>
      <c r="D35" s="5"/>
      <c r="E35" s="5"/>
      <c r="F35" s="1"/>
      <c r="G35" s="1"/>
      <c r="H35" s="1" t="s">
        <v>71</v>
      </c>
      <c r="I35" s="1"/>
      <c r="J35" s="1">
        <f>AA36</f>
        <v>58000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W35" s="1"/>
      <c r="X35" s="1"/>
      <c r="Y35" s="1"/>
      <c r="Z35" s="1"/>
      <c r="AA35" s="1"/>
      <c r="AB35" s="1"/>
      <c r="AC35" s="1"/>
      <c r="AD35" s="1"/>
    </row>
    <row r="36" spans="1:30" x14ac:dyDescent="0.2">
      <c r="A36" s="1"/>
      <c r="B36" s="1"/>
      <c r="C36" s="5"/>
      <c r="D36" s="5"/>
      <c r="E36" s="5"/>
      <c r="F36" s="1"/>
      <c r="G36" s="1"/>
      <c r="H36" s="1" t="s">
        <v>72</v>
      </c>
      <c r="I36" s="1"/>
      <c r="J36" s="1">
        <f>J35-J34</f>
        <v>-239000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W36" s="1" t="s">
        <v>69</v>
      </c>
      <c r="X36" s="1"/>
      <c r="Y36" s="1"/>
      <c r="Z36" s="1"/>
      <c r="AA36" s="1">
        <f>Y34+AC34</f>
        <v>58000</v>
      </c>
      <c r="AB36" s="1"/>
      <c r="AC36" s="1"/>
      <c r="AD36" s="1"/>
    </row>
    <row r="37" spans="1:30" x14ac:dyDescent="0.2">
      <c r="A37" s="1"/>
      <c r="B37" s="1"/>
      <c r="C37" s="5"/>
      <c r="D37" s="5"/>
      <c r="E37" s="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9" spans="1:30" x14ac:dyDescent="0.2">
      <c r="D39" s="1" t="s">
        <v>77</v>
      </c>
      <c r="E39" s="1"/>
      <c r="F39" s="1"/>
      <c r="G39" s="1"/>
      <c r="H39" s="1"/>
      <c r="I39" s="1"/>
      <c r="J39" s="1" t="s">
        <v>78</v>
      </c>
      <c r="K39" s="1"/>
      <c r="L39" s="1"/>
      <c r="M39" s="1"/>
      <c r="N39" s="1"/>
      <c r="O39" s="1"/>
      <c r="P39" s="1" t="s">
        <v>64</v>
      </c>
      <c r="Q39" s="1"/>
      <c r="R39" t="s">
        <v>84</v>
      </c>
    </row>
    <row r="40" spans="1:30" x14ac:dyDescent="0.2">
      <c r="D40" s="1"/>
      <c r="E40" s="1"/>
      <c r="F40" s="1"/>
      <c r="G40" s="1"/>
      <c r="H40" s="1"/>
      <c r="I40" s="1"/>
      <c r="K40" s="1"/>
      <c r="L40" s="1"/>
      <c r="M40" s="1"/>
      <c r="N40" s="1"/>
      <c r="O40" s="1"/>
      <c r="P40" s="1"/>
      <c r="Q40" s="1"/>
    </row>
    <row r="41" spans="1:30" x14ac:dyDescent="0.2">
      <c r="C41">
        <v>1</v>
      </c>
      <c r="D41" s="1"/>
      <c r="E41" s="1"/>
      <c r="F41" s="1"/>
      <c r="G41" s="1"/>
      <c r="H41" s="1"/>
      <c r="I41" s="1"/>
      <c r="K41" s="1"/>
      <c r="L41" s="1"/>
      <c r="M41" s="1"/>
      <c r="N41" s="1"/>
      <c r="O41" s="1"/>
      <c r="P41" s="1"/>
      <c r="Q41" s="1"/>
    </row>
    <row r="42" spans="1:30" x14ac:dyDescent="0.2">
      <c r="C42">
        <v>2</v>
      </c>
      <c r="D42" s="1"/>
      <c r="E42" s="1"/>
      <c r="F42" s="1"/>
      <c r="G42" s="1"/>
      <c r="H42" s="1"/>
      <c r="I42" s="1"/>
      <c r="K42" s="1"/>
      <c r="L42" s="1"/>
      <c r="M42" s="1"/>
      <c r="N42" s="1"/>
      <c r="O42" s="1"/>
      <c r="P42" s="1"/>
      <c r="Q42" s="1"/>
    </row>
    <row r="43" spans="1:30" x14ac:dyDescent="0.2">
      <c r="C43">
        <v>3</v>
      </c>
      <c r="D43" s="1"/>
      <c r="E43" s="1"/>
      <c r="F43" s="1"/>
      <c r="G43" s="1"/>
      <c r="H43" s="1"/>
      <c r="I43" s="1"/>
      <c r="K43" s="1"/>
      <c r="L43" s="1"/>
      <c r="M43" s="1"/>
      <c r="N43" s="1"/>
      <c r="O43" s="1"/>
      <c r="P43" s="1"/>
      <c r="Q43" s="1"/>
    </row>
    <row r="44" spans="1:30" x14ac:dyDescent="0.2">
      <c r="D44" s="1"/>
      <c r="E44" s="1"/>
      <c r="F44" s="1"/>
      <c r="G44" s="1"/>
      <c r="H44" s="1"/>
      <c r="I44" s="1"/>
      <c r="K44" s="1"/>
      <c r="L44" s="1"/>
      <c r="M44" s="1"/>
      <c r="N44" s="1"/>
      <c r="O44" s="1"/>
      <c r="P44" s="1"/>
      <c r="Q44" s="1"/>
    </row>
    <row r="45" spans="1:30" x14ac:dyDescent="0.2">
      <c r="D45" s="1"/>
      <c r="E45" s="1"/>
      <c r="F45" s="1"/>
      <c r="G45" s="1"/>
      <c r="H45" s="1"/>
      <c r="I45" s="1"/>
      <c r="K45" s="1"/>
      <c r="L45" s="1"/>
      <c r="M45" s="1"/>
      <c r="N45" s="1"/>
      <c r="O45" s="1"/>
      <c r="P45" s="1"/>
      <c r="Q45" s="1"/>
    </row>
    <row r="46" spans="1:30" x14ac:dyDescent="0.2">
      <c r="D46" s="1"/>
      <c r="E46" s="1"/>
      <c r="F46" s="1"/>
      <c r="G46" s="1"/>
      <c r="H46" s="1"/>
      <c r="I46" s="1"/>
      <c r="K46" s="1"/>
      <c r="L46" s="1"/>
      <c r="M46" s="1"/>
      <c r="N46" s="1"/>
      <c r="O46" s="1"/>
      <c r="P46" s="1"/>
      <c r="Q46" s="1"/>
    </row>
    <row r="47" spans="1:30" x14ac:dyDescent="0.2">
      <c r="D47" s="1"/>
      <c r="E47" s="1"/>
      <c r="F47" s="1"/>
      <c r="G47" s="1"/>
      <c r="H47" s="1"/>
      <c r="I47" s="1"/>
      <c r="K47" s="1"/>
      <c r="L47" s="1"/>
      <c r="M47" s="1"/>
      <c r="N47" s="1"/>
      <c r="O47" s="1"/>
      <c r="P47" s="1"/>
      <c r="Q47" s="1"/>
    </row>
    <row r="48" spans="1:30" x14ac:dyDescent="0.2">
      <c r="D48" s="1"/>
      <c r="E48" s="1"/>
      <c r="F48" s="1"/>
      <c r="G48" s="1"/>
      <c r="H48" s="1"/>
      <c r="I48" s="1"/>
      <c r="K48" s="1"/>
      <c r="L48" s="1"/>
      <c r="M48" s="1"/>
      <c r="N48" s="1"/>
      <c r="O48" s="1"/>
      <c r="P48" s="1"/>
      <c r="Q48" s="1"/>
    </row>
    <row r="49" spans="4:18" x14ac:dyDescent="0.2">
      <c r="D49" s="1"/>
      <c r="E49" s="1"/>
      <c r="F49" s="1"/>
      <c r="G49" s="1"/>
      <c r="H49" s="1"/>
      <c r="I49" s="1"/>
      <c r="K49" s="1"/>
      <c r="L49" s="1"/>
      <c r="M49" s="1"/>
      <c r="N49" s="1"/>
      <c r="O49" s="1"/>
      <c r="R49">
        <f>SUM(R41:R42)</f>
        <v>0</v>
      </c>
    </row>
    <row r="50" spans="4:18" x14ac:dyDescent="0.2">
      <c r="D50" s="1"/>
      <c r="E50" s="1"/>
      <c r="F50" s="1"/>
      <c r="G50" s="1"/>
      <c r="H50" s="1"/>
      <c r="I50" s="1"/>
      <c r="K50" s="1"/>
      <c r="L50" s="1"/>
      <c r="M50" s="1"/>
      <c r="N50" s="1"/>
      <c r="O50" s="1"/>
      <c r="P50" s="1"/>
      <c r="Q50" s="1"/>
    </row>
    <row r="51" spans="4:18" x14ac:dyDescent="0.2">
      <c r="D51" s="1"/>
      <c r="E51" s="1"/>
      <c r="F51" s="1"/>
      <c r="G51" s="1"/>
      <c r="H51" s="1"/>
      <c r="I51" s="1"/>
      <c r="K51" s="1"/>
      <c r="L51" s="1"/>
      <c r="M51" s="1"/>
      <c r="N51" s="1"/>
      <c r="O51" s="1"/>
      <c r="P51" s="3" t="s">
        <v>89</v>
      </c>
      <c r="Q51" s="3"/>
      <c r="R51">
        <f>J36-R49</f>
        <v>-239000</v>
      </c>
    </row>
    <row r="52" spans="4:18" x14ac:dyDescent="0.2">
      <c r="D52" s="1"/>
      <c r="E52" s="1"/>
      <c r="F52" s="1"/>
      <c r="G52" s="1"/>
      <c r="H52" s="1"/>
      <c r="I52" s="1"/>
      <c r="K52" s="1"/>
      <c r="L52" s="1"/>
      <c r="M52" s="1"/>
      <c r="N52" s="1"/>
      <c r="O52" s="1"/>
      <c r="P52" s="1"/>
      <c r="Q52" s="1"/>
    </row>
    <row r="53" spans="4:18" x14ac:dyDescent="0.2">
      <c r="D53" s="1"/>
      <c r="E53" s="1"/>
      <c r="F53" s="1"/>
      <c r="G53" s="1"/>
      <c r="H53" s="1"/>
      <c r="I53" s="1"/>
      <c r="K53" s="1"/>
      <c r="L53" s="1"/>
      <c r="M53" s="1"/>
      <c r="N53" s="1"/>
      <c r="O53" s="1"/>
      <c r="P53" s="1"/>
      <c r="Q53" s="1"/>
    </row>
    <row r="54" spans="4:18" x14ac:dyDescent="0.2">
      <c r="D54" s="1"/>
      <c r="E54" s="1"/>
      <c r="F54" s="1"/>
      <c r="G54" s="1"/>
      <c r="H54" s="1"/>
      <c r="I54" s="1"/>
      <c r="K54" s="1" t="s">
        <v>83</v>
      </c>
      <c r="L54" s="1"/>
      <c r="M54" s="1"/>
      <c r="N54" s="1"/>
      <c r="O54" s="1"/>
      <c r="P54" s="1"/>
      <c r="Q54" s="1"/>
    </row>
  </sheetData>
  <mergeCells count="456">
    <mergeCell ref="D54:I54"/>
    <mergeCell ref="K54:O54"/>
    <mergeCell ref="P54:Q54"/>
    <mergeCell ref="D52:I52"/>
    <mergeCell ref="K52:O52"/>
    <mergeCell ref="P52:Q52"/>
    <mergeCell ref="D53:I53"/>
    <mergeCell ref="K53:O53"/>
    <mergeCell ref="P53:Q53"/>
    <mergeCell ref="D50:I50"/>
    <mergeCell ref="K50:O50"/>
    <mergeCell ref="P50:Q50"/>
    <mergeCell ref="D51:I51"/>
    <mergeCell ref="K51:O51"/>
    <mergeCell ref="D48:I48"/>
    <mergeCell ref="K48:O48"/>
    <mergeCell ref="P48:Q48"/>
    <mergeCell ref="D49:I49"/>
    <mergeCell ref="K49:O49"/>
    <mergeCell ref="P51:Q51"/>
    <mergeCell ref="D46:I46"/>
    <mergeCell ref="K46:O46"/>
    <mergeCell ref="P46:Q46"/>
    <mergeCell ref="D47:I47"/>
    <mergeCell ref="K47:O47"/>
    <mergeCell ref="P47:Q47"/>
    <mergeCell ref="D44:I44"/>
    <mergeCell ref="K44:O44"/>
    <mergeCell ref="P44:Q44"/>
    <mergeCell ref="D45:I45"/>
    <mergeCell ref="K45:O45"/>
    <mergeCell ref="P45:Q45"/>
    <mergeCell ref="D43:I43"/>
    <mergeCell ref="K43:O43"/>
    <mergeCell ref="P43:Q43"/>
    <mergeCell ref="D40:I40"/>
    <mergeCell ref="K40:O40"/>
    <mergeCell ref="P40:Q40"/>
    <mergeCell ref="D41:I41"/>
    <mergeCell ref="K41:O41"/>
    <mergeCell ref="P41:Q41"/>
    <mergeCell ref="D39:I39"/>
    <mergeCell ref="J39:O39"/>
    <mergeCell ref="P39:Q39"/>
    <mergeCell ref="P36:R36"/>
    <mergeCell ref="S36:U36"/>
    <mergeCell ref="W36:Z36"/>
    <mergeCell ref="D42:I42"/>
    <mergeCell ref="K42:O42"/>
    <mergeCell ref="P42:Q42"/>
    <mergeCell ref="AA36:AB36"/>
    <mergeCell ref="AC36:AD36"/>
    <mergeCell ref="A37:B37"/>
    <mergeCell ref="C37:E37"/>
    <mergeCell ref="F37:G37"/>
    <mergeCell ref="H37:I37"/>
    <mergeCell ref="J37:K37"/>
    <mergeCell ref="A36:B36"/>
    <mergeCell ref="C36:E36"/>
    <mergeCell ref="F36:G36"/>
    <mergeCell ref="H36:I36"/>
    <mergeCell ref="J36:K36"/>
    <mergeCell ref="L36:O36"/>
    <mergeCell ref="L37:O37"/>
    <mergeCell ref="P37:R37"/>
    <mergeCell ref="S37:U37"/>
    <mergeCell ref="P35:R35"/>
    <mergeCell ref="S35:U35"/>
    <mergeCell ref="W35:X35"/>
    <mergeCell ref="Y35:Z35"/>
    <mergeCell ref="AA35:AB35"/>
    <mergeCell ref="AC35:AD35"/>
    <mergeCell ref="A35:B35"/>
    <mergeCell ref="C35:E35"/>
    <mergeCell ref="F35:G35"/>
    <mergeCell ref="H35:I35"/>
    <mergeCell ref="J35:K35"/>
    <mergeCell ref="L35:O35"/>
    <mergeCell ref="P34:R34"/>
    <mergeCell ref="S34:U34"/>
    <mergeCell ref="W34:X34"/>
    <mergeCell ref="Y34:Z34"/>
    <mergeCell ref="AA34:AB34"/>
    <mergeCell ref="AC34:AD34"/>
    <mergeCell ref="A34:B34"/>
    <mergeCell ref="C34:E34"/>
    <mergeCell ref="F34:G34"/>
    <mergeCell ref="H34:I34"/>
    <mergeCell ref="J34:K34"/>
    <mergeCell ref="L34:O34"/>
    <mergeCell ref="P33:R33"/>
    <mergeCell ref="S33:U33"/>
    <mergeCell ref="W33:X33"/>
    <mergeCell ref="Y33:Z33"/>
    <mergeCell ref="AA33:AB33"/>
    <mergeCell ref="AC33:AD33"/>
    <mergeCell ref="A33:B33"/>
    <mergeCell ref="C33:E33"/>
    <mergeCell ref="F33:G33"/>
    <mergeCell ref="H33:I33"/>
    <mergeCell ref="J33:K33"/>
    <mergeCell ref="L33:O33"/>
    <mergeCell ref="P32:R32"/>
    <mergeCell ref="S32:U32"/>
    <mergeCell ref="W32:X32"/>
    <mergeCell ref="Y32:Z32"/>
    <mergeCell ref="AA32:AB32"/>
    <mergeCell ref="AC32:AD32"/>
    <mergeCell ref="A32:B32"/>
    <mergeCell ref="C32:E32"/>
    <mergeCell ref="F32:G32"/>
    <mergeCell ref="H32:I32"/>
    <mergeCell ref="J32:K32"/>
    <mergeCell ref="L32:O32"/>
    <mergeCell ref="P31:R31"/>
    <mergeCell ref="S31:U31"/>
    <mergeCell ref="W31:X31"/>
    <mergeCell ref="Y31:Z31"/>
    <mergeCell ref="AA31:AB31"/>
    <mergeCell ref="AC31:AD31"/>
    <mergeCell ref="A31:B31"/>
    <mergeCell ref="C31:E31"/>
    <mergeCell ref="F31:G31"/>
    <mergeCell ref="H31:I31"/>
    <mergeCell ref="J31:K31"/>
    <mergeCell ref="L31:O31"/>
    <mergeCell ref="P30:R30"/>
    <mergeCell ref="S30:U30"/>
    <mergeCell ref="W30:X30"/>
    <mergeCell ref="Y30:Z30"/>
    <mergeCell ref="AA30:AB30"/>
    <mergeCell ref="AC30:AD30"/>
    <mergeCell ref="A30:B30"/>
    <mergeCell ref="C30:E30"/>
    <mergeCell ref="F30:G30"/>
    <mergeCell ref="H30:I30"/>
    <mergeCell ref="J30:K30"/>
    <mergeCell ref="L30:O30"/>
    <mergeCell ref="P29:R29"/>
    <mergeCell ref="S29:U29"/>
    <mergeCell ref="W29:X29"/>
    <mergeCell ref="Y29:Z29"/>
    <mergeCell ref="AA29:AB29"/>
    <mergeCell ref="AC29:AD29"/>
    <mergeCell ref="A29:B29"/>
    <mergeCell ref="C29:E29"/>
    <mergeCell ref="F29:G29"/>
    <mergeCell ref="H29:I29"/>
    <mergeCell ref="J29:K29"/>
    <mergeCell ref="L29:O29"/>
    <mergeCell ref="P28:R28"/>
    <mergeCell ref="S28:U28"/>
    <mergeCell ref="W28:X28"/>
    <mergeCell ref="Y28:Z28"/>
    <mergeCell ref="AA28:AB28"/>
    <mergeCell ref="AC28:AD28"/>
    <mergeCell ref="A28:B28"/>
    <mergeCell ref="C28:E28"/>
    <mergeCell ref="F28:G28"/>
    <mergeCell ref="H28:I28"/>
    <mergeCell ref="J28:K28"/>
    <mergeCell ref="L28:O28"/>
    <mergeCell ref="P27:R27"/>
    <mergeCell ref="S27:U27"/>
    <mergeCell ref="W27:X27"/>
    <mergeCell ref="Y27:Z27"/>
    <mergeCell ref="AA27:AB27"/>
    <mergeCell ref="AC27:AD27"/>
    <mergeCell ref="A27:B27"/>
    <mergeCell ref="C27:E27"/>
    <mergeCell ref="F27:G27"/>
    <mergeCell ref="H27:I27"/>
    <mergeCell ref="J27:K27"/>
    <mergeCell ref="L27:O27"/>
    <mergeCell ref="P26:R26"/>
    <mergeCell ref="S26:U26"/>
    <mergeCell ref="W26:X26"/>
    <mergeCell ref="Y26:Z26"/>
    <mergeCell ref="AA26:AB26"/>
    <mergeCell ref="AC26:AD26"/>
    <mergeCell ref="A26:B26"/>
    <mergeCell ref="C26:E26"/>
    <mergeCell ref="F26:G26"/>
    <mergeCell ref="H26:I26"/>
    <mergeCell ref="J26:K26"/>
    <mergeCell ref="L26:O26"/>
    <mergeCell ref="P25:R25"/>
    <mergeCell ref="S25:U25"/>
    <mergeCell ref="W25:X25"/>
    <mergeCell ref="Y25:Z25"/>
    <mergeCell ref="AA25:AB25"/>
    <mergeCell ref="AC25:AD25"/>
    <mergeCell ref="A25:B25"/>
    <mergeCell ref="C25:E25"/>
    <mergeCell ref="F25:G25"/>
    <mergeCell ref="H25:I25"/>
    <mergeCell ref="J25:K25"/>
    <mergeCell ref="L25:O25"/>
    <mergeCell ref="P24:R24"/>
    <mergeCell ref="S24:U24"/>
    <mergeCell ref="W24:X24"/>
    <mergeCell ref="Y24:Z24"/>
    <mergeCell ref="AA24:AB24"/>
    <mergeCell ref="AC24:AD24"/>
    <mergeCell ref="A24:B24"/>
    <mergeCell ref="C24:E24"/>
    <mergeCell ref="F24:G24"/>
    <mergeCell ref="H24:I24"/>
    <mergeCell ref="J24:K24"/>
    <mergeCell ref="L24:O24"/>
    <mergeCell ref="P23:R23"/>
    <mergeCell ref="S23:U23"/>
    <mergeCell ref="W23:X23"/>
    <mergeCell ref="Y23:Z23"/>
    <mergeCell ref="AA23:AB23"/>
    <mergeCell ref="AC23:AD23"/>
    <mergeCell ref="A23:B23"/>
    <mergeCell ref="C23:E23"/>
    <mergeCell ref="F23:G23"/>
    <mergeCell ref="H23:I23"/>
    <mergeCell ref="J23:K23"/>
    <mergeCell ref="L23:O23"/>
    <mergeCell ref="P22:R22"/>
    <mergeCell ref="S22:U22"/>
    <mergeCell ref="W22:X22"/>
    <mergeCell ref="Y22:Z22"/>
    <mergeCell ref="AA22:AB22"/>
    <mergeCell ref="AC22:AD22"/>
    <mergeCell ref="A22:B22"/>
    <mergeCell ref="C22:E22"/>
    <mergeCell ref="F22:G22"/>
    <mergeCell ref="H22:I22"/>
    <mergeCell ref="J22:K22"/>
    <mergeCell ref="L22:O22"/>
    <mergeCell ref="P21:R21"/>
    <mergeCell ref="S21:U21"/>
    <mergeCell ref="W21:X21"/>
    <mergeCell ref="Y21:Z21"/>
    <mergeCell ref="AA21:AB21"/>
    <mergeCell ref="AC21:AD21"/>
    <mergeCell ref="A21:B21"/>
    <mergeCell ref="C21:E21"/>
    <mergeCell ref="F21:G21"/>
    <mergeCell ref="H21:I21"/>
    <mergeCell ref="J21:K21"/>
    <mergeCell ref="L21:O21"/>
    <mergeCell ref="P20:R20"/>
    <mergeCell ref="S20:U20"/>
    <mergeCell ref="W20:X20"/>
    <mergeCell ref="Y20:Z20"/>
    <mergeCell ref="AA20:AB20"/>
    <mergeCell ref="AC20:AD20"/>
    <mergeCell ref="A20:B20"/>
    <mergeCell ref="C20:E20"/>
    <mergeCell ref="F20:G20"/>
    <mergeCell ref="H20:I20"/>
    <mergeCell ref="J20:K20"/>
    <mergeCell ref="L20:O20"/>
    <mergeCell ref="P19:R19"/>
    <mergeCell ref="S19:U19"/>
    <mergeCell ref="W19:X19"/>
    <mergeCell ref="Y19:Z19"/>
    <mergeCell ref="AA19:AB19"/>
    <mergeCell ref="AC19:AD19"/>
    <mergeCell ref="A19:B19"/>
    <mergeCell ref="C19:E19"/>
    <mergeCell ref="F19:G19"/>
    <mergeCell ref="H19:I19"/>
    <mergeCell ref="J19:K19"/>
    <mergeCell ref="L19:O19"/>
    <mergeCell ref="P18:R18"/>
    <mergeCell ref="S18:U18"/>
    <mergeCell ref="W18:X18"/>
    <mergeCell ref="Y18:Z18"/>
    <mergeCell ref="AA18:AB18"/>
    <mergeCell ref="AC18:AD18"/>
    <mergeCell ref="A18:B18"/>
    <mergeCell ref="C18:E18"/>
    <mergeCell ref="F18:G18"/>
    <mergeCell ref="H18:I18"/>
    <mergeCell ref="J18:K18"/>
    <mergeCell ref="L18:O18"/>
    <mergeCell ref="P17:R17"/>
    <mergeCell ref="S17:U17"/>
    <mergeCell ref="W17:X17"/>
    <mergeCell ref="Y17:Z17"/>
    <mergeCell ref="AA17:AB17"/>
    <mergeCell ref="AC17:AD17"/>
    <mergeCell ref="A17:B17"/>
    <mergeCell ref="C17:E17"/>
    <mergeCell ref="F17:G17"/>
    <mergeCell ref="H17:I17"/>
    <mergeCell ref="J17:K17"/>
    <mergeCell ref="L17:O17"/>
    <mergeCell ref="P16:R16"/>
    <mergeCell ref="S16:U16"/>
    <mergeCell ref="W16:X16"/>
    <mergeCell ref="Y16:Z16"/>
    <mergeCell ref="AA16:AB16"/>
    <mergeCell ref="AC16:AD16"/>
    <mergeCell ref="A16:B16"/>
    <mergeCell ref="C16:E16"/>
    <mergeCell ref="F16:G16"/>
    <mergeCell ref="H16:I16"/>
    <mergeCell ref="J16:K16"/>
    <mergeCell ref="L16:O16"/>
    <mergeCell ref="P15:R15"/>
    <mergeCell ref="S15:U15"/>
    <mergeCell ref="W15:X15"/>
    <mergeCell ref="Y15:Z15"/>
    <mergeCell ref="AA15:AB15"/>
    <mergeCell ref="AC15:AD15"/>
    <mergeCell ref="A15:B15"/>
    <mergeCell ref="C15:E15"/>
    <mergeCell ref="F15:G15"/>
    <mergeCell ref="H15:I15"/>
    <mergeCell ref="J15:K15"/>
    <mergeCell ref="L15:O15"/>
    <mergeCell ref="P14:R14"/>
    <mergeCell ref="S14:U14"/>
    <mergeCell ref="W14:X14"/>
    <mergeCell ref="Y14:Z14"/>
    <mergeCell ref="AA14:AB14"/>
    <mergeCell ref="AC14:AD14"/>
    <mergeCell ref="A14:B14"/>
    <mergeCell ref="C14:E14"/>
    <mergeCell ref="F14:G14"/>
    <mergeCell ref="H14:I14"/>
    <mergeCell ref="J14:K14"/>
    <mergeCell ref="L14:O14"/>
    <mergeCell ref="P13:R13"/>
    <mergeCell ref="S13:U13"/>
    <mergeCell ref="W13:X13"/>
    <mergeCell ref="Y13:Z13"/>
    <mergeCell ref="AA13:AB13"/>
    <mergeCell ref="AC13:AD13"/>
    <mergeCell ref="A13:B13"/>
    <mergeCell ref="C13:E13"/>
    <mergeCell ref="F13:G13"/>
    <mergeCell ref="H13:I13"/>
    <mergeCell ref="J13:K13"/>
    <mergeCell ref="L13:O13"/>
    <mergeCell ref="P12:R12"/>
    <mergeCell ref="S12:U12"/>
    <mergeCell ref="W12:X12"/>
    <mergeCell ref="Y12:Z12"/>
    <mergeCell ref="AA12:AB12"/>
    <mergeCell ref="AC12:AD12"/>
    <mergeCell ref="A12:B12"/>
    <mergeCell ref="C12:E12"/>
    <mergeCell ref="F12:G12"/>
    <mergeCell ref="H12:I12"/>
    <mergeCell ref="J12:K12"/>
    <mergeCell ref="L12:O12"/>
    <mergeCell ref="P11:R11"/>
    <mergeCell ref="S11:U11"/>
    <mergeCell ref="W11:X11"/>
    <mergeCell ref="Y11:Z11"/>
    <mergeCell ref="AA11:AB11"/>
    <mergeCell ref="AC11:AD11"/>
    <mergeCell ref="A11:B11"/>
    <mergeCell ref="C11:E11"/>
    <mergeCell ref="F11:G11"/>
    <mergeCell ref="H11:I11"/>
    <mergeCell ref="J11:K11"/>
    <mergeCell ref="L11:O11"/>
    <mergeCell ref="P10:R10"/>
    <mergeCell ref="S10:U10"/>
    <mergeCell ref="W10:X10"/>
    <mergeCell ref="Y10:Z10"/>
    <mergeCell ref="AA10:AB10"/>
    <mergeCell ref="AC10:AD10"/>
    <mergeCell ref="A10:B10"/>
    <mergeCell ref="C10:E10"/>
    <mergeCell ref="F10:G10"/>
    <mergeCell ref="H10:I10"/>
    <mergeCell ref="J10:K10"/>
    <mergeCell ref="L10:O10"/>
    <mergeCell ref="P9:R9"/>
    <mergeCell ref="S9:U9"/>
    <mergeCell ref="W9:X9"/>
    <mergeCell ref="Y9:Z9"/>
    <mergeCell ref="AA9:AB9"/>
    <mergeCell ref="AC9:AD9"/>
    <mergeCell ref="A9:B9"/>
    <mergeCell ref="C9:E9"/>
    <mergeCell ref="F9:G9"/>
    <mergeCell ref="H9:I9"/>
    <mergeCell ref="J9:K9"/>
    <mergeCell ref="L9:O9"/>
    <mergeCell ref="P8:R8"/>
    <mergeCell ref="S8:U8"/>
    <mergeCell ref="W8:X8"/>
    <mergeCell ref="Y8:Z8"/>
    <mergeCell ref="AA8:AB8"/>
    <mergeCell ref="AC8:AD8"/>
    <mergeCell ref="A8:B8"/>
    <mergeCell ref="C8:E8"/>
    <mergeCell ref="F8:G8"/>
    <mergeCell ref="H8:I8"/>
    <mergeCell ref="J8:K8"/>
    <mergeCell ref="L8:O8"/>
    <mergeCell ref="P7:R7"/>
    <mergeCell ref="S7:U7"/>
    <mergeCell ref="W7:X7"/>
    <mergeCell ref="Y7:Z7"/>
    <mergeCell ref="AA7:AB7"/>
    <mergeCell ref="AC7:AD7"/>
    <mergeCell ref="A7:B7"/>
    <mergeCell ref="C7:E7"/>
    <mergeCell ref="F7:G7"/>
    <mergeCell ref="H7:I7"/>
    <mergeCell ref="J7:K7"/>
    <mergeCell ref="L7:O7"/>
    <mergeCell ref="Y6:Z6"/>
    <mergeCell ref="AA6:AB6"/>
    <mergeCell ref="AC6:AD6"/>
    <mergeCell ref="A6:B6"/>
    <mergeCell ref="C6:E6"/>
    <mergeCell ref="F6:G6"/>
    <mergeCell ref="H6:I6"/>
    <mergeCell ref="J6:K6"/>
    <mergeCell ref="L6:O6"/>
    <mergeCell ref="A5:B5"/>
    <mergeCell ref="C5:E5"/>
    <mergeCell ref="F5:G5"/>
    <mergeCell ref="H5:I5"/>
    <mergeCell ref="J5:K5"/>
    <mergeCell ref="L5:O5"/>
    <mergeCell ref="P6:R6"/>
    <mergeCell ref="S6:U6"/>
    <mergeCell ref="W6:X6"/>
    <mergeCell ref="W4:X4"/>
    <mergeCell ref="Y4:Z4"/>
    <mergeCell ref="AA4:AB4"/>
    <mergeCell ref="AC4:AD4"/>
    <mergeCell ref="AH4:AI4"/>
    <mergeCell ref="AJ4:AL5"/>
    <mergeCell ref="AF5:AG5"/>
    <mergeCell ref="AH5:AI5"/>
    <mergeCell ref="A1:AC3"/>
    <mergeCell ref="AF3:AH3"/>
    <mergeCell ref="A4:B4"/>
    <mergeCell ref="C4:E4"/>
    <mergeCell ref="F4:G4"/>
    <mergeCell ref="H4:I4"/>
    <mergeCell ref="J4:K4"/>
    <mergeCell ref="L4:O4"/>
    <mergeCell ref="P4:R4"/>
    <mergeCell ref="S4:U4"/>
    <mergeCell ref="P5:R5"/>
    <mergeCell ref="S5:U5"/>
    <mergeCell ref="W5:X5"/>
    <mergeCell ref="Y5:Z5"/>
    <mergeCell ref="AA5:AB5"/>
    <mergeCell ref="AC5:AD5"/>
  </mergeCells>
  <conditionalFormatting sqref="J36:K36">
    <cfRule type="colorScale" priority="4">
      <colorScale>
        <cfvo type="num" val="0"/>
        <cfvo type="max"/>
        <color rgb="FFFF7128"/>
        <color theme="9"/>
      </colorScale>
    </cfRule>
    <cfRule type="colorScale" priority="5">
      <colorScale>
        <cfvo type="formula" val="$J$361&lt;0"/>
        <cfvo type="max"/>
        <color rgb="FFFF7128"/>
        <color theme="9"/>
      </colorScale>
    </cfRule>
    <cfRule type="colorScale" priority="6">
      <colorScale>
        <cfvo type="num" val="0"/>
        <cfvo type="max"/>
        <color theme="9"/>
        <color rgb="FFFFEF9C"/>
      </colorScale>
    </cfRule>
  </conditionalFormatting>
  <conditionalFormatting sqref="R49">
    <cfRule type="colorScale" priority="2">
      <colorScale>
        <cfvo type="formula" val=" $A$37 &lt; $R$49"/>
        <cfvo type="max"/>
        <color rgb="FFFF7128"/>
        <color rgb="FFFFEF9C"/>
      </colorScale>
    </cfRule>
    <cfRule type="colorScale" priority="3">
      <colorScale>
        <cfvo type="formula" val=" $A$37 &lt; $R$49"/>
        <cfvo type="max"/>
        <color rgb="FFFF7128"/>
        <color rgb="FFFFEF9C"/>
      </colorScale>
    </cfRule>
  </conditionalFormatting>
  <conditionalFormatting sqref="S49">
    <cfRule type="colorScale" priority="1">
      <colorScale>
        <cfvo type="min"/>
        <cfvo type="formula" val="$A$37 &gt;= $R$49"/>
        <color rgb="FFFF7128"/>
        <color rgb="FFFFEF9C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Aug2025</vt:lpstr>
      <vt:lpstr>Sept2025</vt:lpstr>
      <vt:lpstr>Oct2025</vt:lpstr>
      <vt:lpstr>Nov2025</vt:lpstr>
      <vt:lpstr>Dec2025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Thakkar</dc:creator>
  <cp:lastModifiedBy>Atul Thakkar</cp:lastModifiedBy>
  <dcterms:created xsi:type="dcterms:W3CDTF">2025-08-13T02:16:11Z</dcterms:created>
  <dcterms:modified xsi:type="dcterms:W3CDTF">2025-08-14T03:37:30Z</dcterms:modified>
</cp:coreProperties>
</file>